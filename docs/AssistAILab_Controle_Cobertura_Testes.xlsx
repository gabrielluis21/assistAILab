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Meus Aplicativos\AssistAiLab - project\docs\"/>
    </mc:Choice>
  </mc:AlternateContent>
  <xr:revisionPtr revIDLastSave="0" documentId="13_ncr:20001_{40F52321-10EE-4D52-8600-D35F61BE343A}" xr6:coauthVersionLast="47" xr6:coauthVersionMax="47" xr10:uidLastSave="{00000000-0000-0000-0000-000000000000}"/>
  <bookViews>
    <workbookView xWindow="-120" yWindow="-120" windowWidth="24240" windowHeight="13140" activeTab="5" xr2:uid="{00000000-000D-0000-FFFF-FFFF00000000}"/>
  </bookViews>
  <sheets>
    <sheet name="Dashboard" sheetId="1" r:id="rId1"/>
    <sheet name="Cenarios" sheetId="2" r:id="rId2"/>
    <sheet name="Checklist" sheetId="3" r:id="rId3"/>
    <sheet name="Testes Atuais" sheetId="4" r:id="rId4"/>
    <sheet name="C1 - Meta 75" sheetId="5" r:id="rId5"/>
    <sheet name="C2 - Meta 75" sheetId="6" r:id="rId6"/>
  </sheets>
  <calcPr calcId="191029"/>
  <fileRecoveryPr repairLoad="1"/>
</workbook>
</file>

<file path=xl/calcChain.xml><?xml version="1.0" encoding="utf-8"?>
<calcChain xmlns="http://schemas.openxmlformats.org/spreadsheetml/2006/main">
  <c r="B6" i="6" l="1"/>
  <c r="B4" i="5"/>
  <c r="E4" i="5" s="1"/>
  <c r="E11" i="2"/>
  <c r="D11" i="2"/>
  <c r="F11" i="2" s="1"/>
  <c r="E10" i="2"/>
  <c r="F10" i="2" s="1"/>
  <c r="D10" i="2"/>
  <c r="E9" i="2"/>
  <c r="D9" i="2"/>
  <c r="F9" i="2" s="1"/>
  <c r="E8" i="2"/>
  <c r="D8" i="2"/>
  <c r="F8" i="2" s="1"/>
  <c r="E7" i="2"/>
  <c r="F7" i="2" s="1"/>
  <c r="D7" i="2"/>
  <c r="F6" i="2"/>
  <c r="B13" i="1" s="1"/>
  <c r="E6" i="2"/>
  <c r="D6" i="2"/>
  <c r="E5" i="2"/>
  <c r="D5" i="2"/>
  <c r="F5" i="2" s="1"/>
  <c r="E8" i="1"/>
  <c r="E6" i="1"/>
  <c r="E5" i="1"/>
  <c r="E4" i="6" l="1"/>
  <c r="E6" i="6" s="1"/>
  <c r="I9" i="2"/>
  <c r="B16" i="1"/>
  <c r="H9" i="2"/>
  <c r="I11" i="2"/>
  <c r="H11" i="2"/>
  <c r="B18" i="1"/>
  <c r="I7" i="2"/>
  <c r="H7" i="2"/>
  <c r="B14" i="1"/>
  <c r="H8" i="2"/>
  <c r="B15" i="1"/>
  <c r="I8" i="2"/>
  <c r="E6" i="5"/>
  <c r="E5" i="5"/>
  <c r="B12" i="1"/>
  <c r="I5" i="2"/>
  <c r="H5" i="2"/>
  <c r="H10" i="2"/>
  <c r="B17" i="1"/>
  <c r="I10" i="2"/>
  <c r="H6" i="2"/>
  <c r="I6" i="2"/>
  <c r="B6" i="5"/>
  <c r="E7" i="1" s="1"/>
  <c r="E9" i="1" s="1"/>
  <c r="E5" i="6" l="1"/>
</calcChain>
</file>

<file path=xl/sharedStrings.xml><?xml version="1.0" encoding="utf-8"?>
<sst xmlns="http://schemas.openxmlformats.org/spreadsheetml/2006/main" count="772" uniqueCount="348">
  <si>
    <t>AssistAILab — Painel de Cobertura de Testes</t>
  </si>
  <si>
    <t>Controle mestre dos cenários C1–C7. Atualize o Checklist conforme os testes forem sendo implementados e validados.</t>
  </si>
  <si>
    <t>Indicador</t>
  </si>
  <si>
    <t>Valor</t>
  </si>
  <si>
    <t>C1 — Progresso</t>
  </si>
  <si>
    <t>Testes automatizados atuais</t>
  </si>
  <si>
    <t>Itens C1</t>
  </si>
  <si>
    <t>Suítes atuais</t>
  </si>
  <si>
    <t>Cobertos C1</t>
  </si>
  <si>
    <t>Última execução</t>
  </si>
  <si>
    <t>20/08/2026</t>
  </si>
  <si>
    <t>Cobertura C1</t>
  </si>
  <si>
    <t>Resultado baseline</t>
  </si>
  <si>
    <t>12 PASS / 0 FAIL</t>
  </si>
  <si>
    <t>Meta</t>
  </si>
  <si>
    <t>Gap</t>
  </si>
  <si>
    <t>Cenário</t>
  </si>
  <si>
    <t>Cobertura</t>
  </si>
  <si>
    <t>C01</t>
  </si>
  <si>
    <t>C02</t>
  </si>
  <si>
    <t>C03</t>
  </si>
  <si>
    <t>C04</t>
  </si>
  <si>
    <t>C05</t>
  </si>
  <si>
    <t>C06</t>
  </si>
  <si>
    <t>C07</t>
  </si>
  <si>
    <t>Fluxo acordado: nova funcionalidade/regra → explicação → decisão. Se aprovada → implementação + testes automatizados. Se não aprovada → discussão continua, sem implementação.</t>
  </si>
  <si>
    <t>AssistAILab — Matriz de Cenários de Regressão</t>
  </si>
  <si>
    <t>Cobertura = itens COBERTOS / total de itens do cenário. Meta padrão = 75%. Pendências de implementação/decisão continuam no denominador para mostrar a lacuna real.</t>
  </si>
  <si>
    <t>ID</t>
  </si>
  <si>
    <t>Cenário mestre</t>
  </si>
  <si>
    <t>Resumo</t>
  </si>
  <si>
    <t>Itens</t>
  </si>
  <si>
    <t>Cobertos</t>
  </si>
  <si>
    <t>Status</t>
  </si>
  <si>
    <t>Foco atual</t>
  </si>
  <si>
    <t>Organização adquire licença e acessa o sistema</t>
  </si>
  <si>
    <t>Organization + Membership + login + isolamento; licença/frontend ainda pendentes.</t>
  </si>
  <si>
    <t>SIM</t>
  </si>
  <si>
    <t>Cliente abre OS para Notebook e Celular</t>
  </si>
  <si>
    <t>CustomerOrganization + Equipment correto + OS + acesso ao Equipment somente via OS.</t>
  </si>
  <si>
    <t>NÃO</t>
  </si>
  <si>
    <t>Cliente cadastra/loga e consulta suas OS</t>
  </si>
  <si>
    <t>Cadastro seguro + onboarding/login + acesso às próprias OS.</t>
  </si>
  <si>
    <t>Aquisição de Equipment para revenda/peças</t>
  </si>
  <si>
    <t>Ownership + proposta 4.1 + consentimento + RESALE/PARTS_DONOR.</t>
  </si>
  <si>
    <t>Cliente cancela OS e solicita devolução</t>
  </si>
  <si>
    <t>Cancelamento já existe; devolução física ainda requer decisão.</t>
  </si>
  <si>
    <t>Cliente não aprova orçamento</t>
  </si>
  <si>
    <t>Ação explícita not-approved + CRM + idempotência + isolamento.</t>
  </si>
  <si>
    <t>OS aprovada e concluída com sucesso</t>
  </si>
  <si>
    <t>State machine + integração completa + CRM + isolamento.</t>
  </si>
  <si>
    <t>AssistAILab — Checklist Mestre de Cobertura</t>
  </si>
  <si>
    <t>Fluxo obrigatório: nova funcionalidade/regra → explicação → decisão → se aprovada, implementação + testes; se não aprovada, discussão continua sem implementação.</t>
  </si>
  <si>
    <t>Item</t>
  </si>
  <si>
    <t>Área</t>
  </si>
  <si>
    <t>Regra / resultado esperado</t>
  </si>
  <si>
    <t>Implementação atual</t>
  </si>
  <si>
    <t>Teste atual</t>
  </si>
  <si>
    <t>Teste(s) relacionado(s)</t>
  </si>
  <si>
    <t>Observações / próximo passo</t>
  </si>
  <si>
    <t>C01.01</t>
  </si>
  <si>
    <t>Auth / Segurança</t>
  </si>
  <si>
    <t>Backend não inicia sem JWT_SECRET.</t>
  </si>
  <si>
    <t>IMPLEMENTADO</t>
  </si>
  <si>
    <t>COBERTO</t>
  </si>
  <si>
    <t>T001</t>
  </si>
  <si>
    <t>Já coberto pelo teste atual.</t>
  </si>
  <si>
    <t>C01.02</t>
  </si>
  <si>
    <t>Cadastro público não pode injetar role privilegiada.</t>
  </si>
  <si>
    <t>T002</t>
  </si>
  <si>
    <t>C01.03</t>
  </si>
  <si>
    <t>Organization</t>
  </si>
  <si>
    <t>Organization existe antes do contexto autenticado de trabalho.</t>
  </si>
  <si>
    <t>PENDENTE_TESTE</t>
  </si>
  <si>
    <t>Validar criação/seed/registro usado pelo login.</t>
  </si>
  <si>
    <t>C01.04</t>
  </si>
  <si>
    <t>Membership</t>
  </si>
  <si>
    <t>ADMIN/TECH autenticado deve possuir Membership vinculada à Organization.</t>
  </si>
  <si>
    <t>Testar vínculo User → Membership → Organization.</t>
  </si>
  <si>
    <t>C01.05</t>
  </si>
  <si>
    <t>Login</t>
  </si>
  <si>
    <t>Login válido retorna JWT com role e organizationId derivados do backend.</t>
  </si>
  <si>
    <t>Teste de integração do login.</t>
  </si>
  <si>
    <t>C01.06</t>
  </si>
  <si>
    <t>Credenciais inválidas são rejeitadas.</t>
  </si>
  <si>
    <t>Adicionar caso negativo.</t>
  </si>
  <si>
    <t>C01.07</t>
  </si>
  <si>
    <t>Auth /me</t>
  </si>
  <si>
    <t>/auth/me retorna identidade coerente com o usuário autenticado.</t>
  </si>
  <si>
    <t>Cobrir identidade e role corrente.</t>
  </si>
  <si>
    <t>C01.08</t>
  </si>
  <si>
    <t>Multi-tenant</t>
  </si>
  <si>
    <t>Usuário da Organization A não pode operar dados protegidos da Organization B.</t>
  </si>
  <si>
    <t>IMPLEMENTADO PARCIAL</t>
  </si>
  <si>
    <t>Usar duas Organizations no cenário de integração.</t>
  </si>
  <si>
    <t>C01.09</t>
  </si>
  <si>
    <t>Licenciamento</t>
  </si>
  <si>
    <t>Aquisição/ativação da licença da Organization.</t>
  </si>
  <si>
    <t>NÃO IMPLEMENTADO</t>
  </si>
  <si>
    <t>PENDENTE_IMPLEMENTACAO</t>
  </si>
  <si>
    <t>Não implementar sem discussão/decisão específica.</t>
  </si>
  <si>
    <t>C01.10</t>
  </si>
  <si>
    <t>Frontend</t>
  </si>
  <si>
    <t>Login integrado Desktop/Web/Mobile.</t>
  </si>
  <si>
    <t>Frontend Auth ainda não integrado.</t>
  </si>
  <si>
    <t>C02.01</t>
  </si>
  <si>
    <t>CustomerOrganization</t>
  </si>
  <si>
    <t>Organization pode abrir OS apenas para Customer com relacionamento ACTIVE.</t>
  </si>
  <si>
    <t>Alteração recente; precisa integração.</t>
  </si>
  <si>
    <t>C02.02</t>
  </si>
  <si>
    <t>Equipment</t>
  </si>
  <si>
    <t>Equipment principal da OS pertence ao mesmo Customer informado.</t>
  </si>
  <si>
    <t>Impedir OS João + equipamento Maria.</t>
  </si>
  <si>
    <t>C02.03</t>
  </si>
  <si>
    <t>Service Order</t>
  </si>
  <si>
    <t>OS exige Organization + Customer + Equipment.</t>
  </si>
  <si>
    <t>Teste de criação real.</t>
  </si>
  <si>
    <t>C02.04</t>
  </si>
  <si>
    <t>Equipment / Acesso</t>
  </si>
  <si>
    <t>CustomerOrganization sozinho não concede acesso a todos os Equipment do cliente.</t>
  </si>
  <si>
    <t>Regra recente prioritária.</t>
  </si>
  <si>
    <t>C02.05</t>
  </si>
  <si>
    <t>Organization acessa Equipment do Customer quando existe OS própria para o Equipment.</t>
  </si>
  <si>
    <t>C02.06</t>
  </si>
  <si>
    <t>CRM</t>
  </si>
  <si>
    <t>Criação/estados operacionais não geram lifecycle events indevidos.</t>
  </si>
  <si>
    <t>T008</t>
  </si>
  <si>
    <t>Cobertura unitária atual.</t>
  </si>
  <si>
    <t>C02.07</t>
  </si>
  <si>
    <t>Organization B não acessa OS criada pela Organization A.</t>
  </si>
  <si>
    <t>Teste de isolamento.</t>
  </si>
  <si>
    <t>C02.08</t>
  </si>
  <si>
    <t>Múltiplos equipamentos</t>
  </si>
  <si>
    <t>Mesmo Customer pode abrir OS distintas para Notebook e Celular.</t>
  </si>
  <si>
    <t>Cenário mestre proposto.</t>
  </si>
  <si>
    <t>C03.01</t>
  </si>
  <si>
    <t>Cadastro Customer</t>
  </si>
  <si>
    <t>Cadastro público exige password.</t>
  </si>
  <si>
    <t>T003</t>
  </si>
  <si>
    <t>C03.02</t>
  </si>
  <si>
    <t>Cadastro público válido cria Customer/User permitido.</t>
  </si>
  <si>
    <t>T004</t>
  </si>
  <si>
    <t>C03.03</t>
  </si>
  <si>
    <t>Segurança</t>
  </si>
  <si>
    <t>Cadastro público não permite role privilegiada.</t>
  </si>
  <si>
    <t>C03.04</t>
  </si>
  <si>
    <t>Onboarding</t>
  </si>
  <si>
    <t>Customer PENDING é vinculado à Organization pelo fluxo de onboarding/claim.</t>
  </si>
  <si>
    <t>PARCIAL</t>
  </si>
  <si>
    <t>Fluxo completo de AccessGrant ainda não concluído.</t>
  </si>
  <si>
    <t>C03.05</t>
  </si>
  <si>
    <t>Login Customer</t>
  </si>
  <si>
    <t>Customer habilitado consegue autenticar.</t>
  </si>
  <si>
    <t>Depende do onboarding/membership definido.</t>
  </si>
  <si>
    <t>C03.06</t>
  </si>
  <si>
    <t>Consulta OS</t>
  </si>
  <si>
    <t>Customer consulta somente suas próprias OS.</t>
  </si>
  <si>
    <t>Testar autorização por customerId.</t>
  </si>
  <si>
    <t>C03.07</t>
  </si>
  <si>
    <t>Visão histórica/global</t>
  </si>
  <si>
    <t>Customer visualiza todas as próprias OS ao longo da existência.</t>
  </si>
  <si>
    <t>DECISÃO PENDENTE</t>
  </si>
  <si>
    <t>DECISAO_PENDENTE</t>
  </si>
  <si>
    <t>Definir visão global entre Organizations antes de implementar.</t>
  </si>
  <si>
    <t>C04.01</t>
  </si>
  <si>
    <t>Equipment Ownership</t>
  </si>
  <si>
    <t>Equipment de Customer pode tornar-se propriedade da Organization somente por aquisição autorizada.</t>
  </si>
  <si>
    <t>SCHEMA PREPARADO</t>
  </si>
  <si>
    <t>EquipmentAcquisition modelado; fluxo ainda não implementado.</t>
  </si>
  <si>
    <t>C04.02</t>
  </si>
  <si>
    <t>Finalidade</t>
  </si>
  <si>
    <t>Aquisição diferencia RESALE de PARTS_DONOR.</t>
  </si>
  <si>
    <t>Enum EquipmentPurpose já preparado.</t>
  </si>
  <si>
    <t>C04.03</t>
  </si>
  <si>
    <t>Proposta (4.1)</t>
  </si>
  <si>
    <t>Organization apresenta proposta após identificar inviabilidade/alternativa de reparo.</t>
  </si>
  <si>
    <t>Detalhes do fluxo ainda precisam de decisão.</t>
  </si>
  <si>
    <t>C04.04</t>
  </si>
  <si>
    <t>Consentimento (4.1)</t>
  </si>
  <si>
    <t>Customer autoriza ou rejeita a aquisição e a finalidade apresentada.</t>
  </si>
  <si>
    <t>Método/evidência modelados; lógica não implementada.</t>
  </si>
  <si>
    <t>C04.05</t>
  </si>
  <si>
    <t>Transferência</t>
  </si>
  <si>
    <t>Somente aquisição concluída altera ownerType para ORGANIZATION.</t>
  </si>
  <si>
    <t>Implementar futuramente após decisão.</t>
  </si>
  <si>
    <t>C04.06</t>
  </si>
  <si>
    <t>Acesso Organization</t>
  </si>
  <si>
    <t>Equipment próprio da Organization pode ser acessado diretamente pela Organization proprietária.</t>
  </si>
  <si>
    <t>Regra refletida no Sync; precisa teste.</t>
  </si>
  <si>
    <t>C04.07</t>
  </si>
  <si>
    <t>Isolamento</t>
  </si>
  <si>
    <t>Outra Organization não acessa Equipment adquirido por Organization A.</t>
  </si>
  <si>
    <t>Cobrir multi-tenant.</t>
  </si>
  <si>
    <t>C04.08</t>
  </si>
  <si>
    <t>Sync</t>
  </si>
  <si>
    <t>Sync genérico não pode transferir ownership CUSTOMER → ORGANIZATION.</t>
  </si>
  <si>
    <t>Alteração recente do sync.controller.ts.</t>
  </si>
  <si>
    <t>C05.01</t>
  </si>
  <si>
    <t>State machine</t>
  </si>
  <si>
    <t>Cancelamento é permitido a partir dos estados atualmente válidos.</t>
  </si>
  <si>
    <t>T010</t>
  </si>
  <si>
    <t>C05.02</t>
  </si>
  <si>
    <t>CANCELADO mapeia para SERVICE_ORDER_CANCELLED.</t>
  </si>
  <si>
    <t>T006</t>
  </si>
  <si>
    <t>C05.03</t>
  </si>
  <si>
    <t>Endpoint / Integração</t>
  </si>
  <si>
    <t>Cancelamento real da OS persiste status + histórico + CRM atomicamente.</t>
  </si>
  <si>
    <t>Cobrir controller/service real.</t>
  </si>
  <si>
    <t>C05.04</t>
  </si>
  <si>
    <t>Organization B não cancela OS da Organization A.</t>
  </si>
  <si>
    <t>C05.05</t>
  </si>
  <si>
    <t>Devolução física</t>
  </si>
  <si>
    <t>Solicitação/devolução física do Equipment ao Customer.</t>
  </si>
  <si>
    <t>Cancelamento e devolução física não foram definidos como o mesmo evento.</t>
  </si>
  <si>
    <t>C06.01</t>
  </si>
  <si>
    <t>Semântica</t>
  </si>
  <si>
    <t>AGUARDANDO_APROVACAO não significa orçamento rejeitado.</t>
  </si>
  <si>
    <t>T007</t>
  </si>
  <si>
    <t>C06.02</t>
  </si>
  <si>
    <t>Ação explícita</t>
  </si>
  <si>
    <t>Ação /not-approved só é válida a partir de AGUARDANDO_APROVACAO.</t>
  </si>
  <si>
    <t>Testar endpoint.</t>
  </si>
  <si>
    <t>C06.03</t>
  </si>
  <si>
    <t>Não aprovação gera SERVICE_ORDER_NOT_APPROVED.</t>
  </si>
  <si>
    <t>Teste de integração.</t>
  </si>
  <si>
    <t>C06.04</t>
  </si>
  <si>
    <t>Não aprovação não gera também SERVICE_ORDER_CANCELLED.</t>
  </si>
  <si>
    <t>Evitar duplicidade semântica.</t>
  </si>
  <si>
    <t>C06.05</t>
  </si>
  <si>
    <t>Idempotência</t>
  </si>
  <si>
    <t>Repetição da ação not-approved não duplica evento.</t>
  </si>
  <si>
    <t>Regra já implementada; falta teste.</t>
  </si>
  <si>
    <t>C06.06</t>
  </si>
  <si>
    <t>Organization errada não executa not-approved em OS de outra Organization.</t>
  </si>
  <si>
    <t>C07.01</t>
  </si>
  <si>
    <t>Transições válidas do ciclo de OS são aceitas.</t>
  </si>
  <si>
    <t>T009</t>
  </si>
  <si>
    <t>C07.02</t>
  </si>
  <si>
    <t>Saltos/regressões inválidos são rejeitados.</t>
  </si>
  <si>
    <t>T011</t>
  </si>
  <si>
    <t>C07.03</t>
  </si>
  <si>
    <t>Estados operacionais não geram lifecycle event indevido.</t>
  </si>
  <si>
    <t>C07.04</t>
  </si>
  <si>
    <t>ENTREGUE gera SERVICE_ORDER_COMPLETED.</t>
  </si>
  <si>
    <t>T005</t>
  </si>
  <si>
    <t>C07.05</t>
  </si>
  <si>
    <t>Integração</t>
  </si>
  <si>
    <t>Fluxo real criação → diagnóstico → aprovação → execução → pronto → entregue funciona ponta a ponta.</t>
  </si>
  <si>
    <t>Teste de integração principal.</t>
  </si>
  <si>
    <t>C07.06</t>
  </si>
  <si>
    <t>Atomicidade</t>
  </si>
  <si>
    <t>Mudança de status persiste histórico e efeitos CRM de forma consistente.</t>
  </si>
  <si>
    <t>Cobrir transaction/optimistic locking.</t>
  </si>
  <si>
    <t>C07.07</t>
  </si>
  <si>
    <t>Organization B não consulta/altera/conclui OS da Organization A.</t>
  </si>
  <si>
    <t>AssistAILab — Catálogo dos Testes Automatizados Atuais</t>
  </si>
  <si>
    <t>Baseline confirmada em 20/08/2026: 12 testes, 4 suítes, 12 aprovados, 0 falhas.</t>
  </si>
  <si>
    <t>Suíte</t>
  </si>
  <si>
    <t>Teste automatizado</t>
  </si>
  <si>
    <t>Cenário(s)</t>
  </si>
  <si>
    <t>Tipo</t>
  </si>
  <si>
    <t>Cobertura principal</t>
  </si>
  <si>
    <t>Observações</t>
  </si>
  <si>
    <t>Auth Security &amp; Privilege Escalation Hardening</t>
  </si>
  <si>
    <t>Startup fails when JWT_SECRET is missing</t>
  </si>
  <si>
    <t>PASS</t>
  </si>
  <si>
    <t>Inicialização segura da autenticação</t>
  </si>
  <si>
    <t>Transversal à autenticação, associado ao C1.</t>
  </si>
  <si>
    <t>Public registration rejects role injection</t>
  </si>
  <si>
    <t>C01; C03</t>
  </si>
  <si>
    <t>Impede escalada de privilégio no cadastro público</t>
  </si>
  <si>
    <t>Cobre C1/C3 parcialmente.</t>
  </si>
  <si>
    <t>Public registration requires a password</t>
  </si>
  <si>
    <t>Validação</t>
  </si>
  <si>
    <t>Cadastro de cliente exige senha</t>
  </si>
  <si>
    <t>Public registration accepts valid customer data</t>
  </si>
  <si>
    <t>Cadastro público válido de Customer</t>
  </si>
  <si>
    <t>Customer Relationship - Service Order Integration</t>
  </si>
  <si>
    <t>ENTREGUE maps to SERVICE_ORDER_COMPLETED</t>
  </si>
  <si>
    <t>Regra de negócio</t>
  </si>
  <si>
    <t>Conclusão da OS gera evento CRM correto</t>
  </si>
  <si>
    <t>CANCELADO maps to SERVICE_ORDER_CANCELLED</t>
  </si>
  <si>
    <t>Cancelamento gera evento CRM correto</t>
  </si>
  <si>
    <t>AGUARDANDO_APROVACAO does not mean NOT_APPROVED</t>
  </si>
  <si>
    <t>Não aprovação é explícita e distinta de aguardando aprovação</t>
  </si>
  <si>
    <t>operational states do not generate CRM lifecycle events</t>
  </si>
  <si>
    <t>C02; C07</t>
  </si>
  <si>
    <t>Estados operacionais não criam eventos CRM indevidos</t>
  </si>
  <si>
    <t>Service Order State Machine Hardening</t>
  </si>
  <si>
    <t>Valid state transitions pass</t>
  </si>
  <si>
    <t>Transições válidas de OS</t>
  </si>
  <si>
    <t>Cancellation from valid states is allowed</t>
  </si>
  <si>
    <t>Cancelamento permitido a partir de estados válidos</t>
  </si>
  <si>
    <t>Invalid backward or skipped transitions are rejected</t>
  </si>
  <si>
    <t>Bloqueia regressões e saltos inválidos de status</t>
  </si>
  <si>
    <t>T012</t>
  </si>
  <si>
    <t>Sync Engine &amp; Idempotency Hardening</t>
  </si>
  <si>
    <t>computePayloadHash generates deterministic SHA-256 string</t>
  </si>
  <si>
    <t>TRANSVERSAL</t>
  </si>
  <si>
    <t>Infraestrutura</t>
  </si>
  <si>
    <t>Idempotência do Sync</t>
  </si>
  <si>
    <t>Não é cobertura direta de um dos 7 cenários.</t>
  </si>
  <si>
    <t>C1 — Organização / Autenticação / Acesso | Meta de Cobertura: 75%</t>
  </si>
  <si>
    <t>Planejamento</t>
  </si>
  <si>
    <t>Itens do C1</t>
  </si>
  <si>
    <t>Cobertos necessários p/ 75%</t>
  </si>
  <si>
    <t>Itens cobertos</t>
  </si>
  <si>
    <t>Itens adicionais necessários</t>
  </si>
  <si>
    <t>Cobertura atual</t>
  </si>
  <si>
    <t>Pode atingir 75% só com o já implementado?</t>
  </si>
  <si>
    <t>Próxima etapa</t>
  </si>
  <si>
    <t>Criar testes do C1 sem introduzir regra nova</t>
  </si>
  <si>
    <t>Implementação</t>
  </si>
  <si>
    <t>Prioridade C1</t>
  </si>
  <si>
    <t>Notas</t>
  </si>
  <si>
    <t>CONCLUÍDO</t>
  </si>
  <si>
    <t>BLOQUEADO</t>
  </si>
  <si>
    <t>T013</t>
  </si>
  <si>
    <t>T013; T016</t>
  </si>
  <si>
    <t>T014</t>
  </si>
  <si>
    <t>T015</t>
  </si>
  <si>
    <t>T017</t>
  </si>
  <si>
    <t>T018; T019</t>
  </si>
  <si>
    <t>Organization persistida validada por teste de integração.</t>
  </si>
  <si>
    <t>Membership válida e ausência de Membership bloqueada.</t>
  </si>
  <si>
    <t>JWT contém role e organizationId derivados do backend.</t>
  </si>
  <si>
    <t>Credenciais inválidas rejeitadas.</t>
  </si>
  <si>
    <t>/auth/me validado com contexto organizacional correto.</t>
  </si>
  <si>
    <t>Isolamento Organization A × B validado com OS real.</t>
  </si>
  <si>
    <t>Prioridade C2</t>
  </si>
  <si>
    <t>T020; T021</t>
  </si>
  <si>
    <t>Customer ACTIVE cria OS; relacionamento BLOCKED é rejeitado.</t>
  </si>
  <si>
    <t>T022</t>
  </si>
  <si>
    <t>OS com Equipment de outro Customer é rejeitada.</t>
  </si>
  <si>
    <t>T020; T024</t>
  </si>
  <si>
    <t>OS mantém Organization + Customer + Equipment; primeiro atendimento cria Equipment + OS no mesmo fluxo.</t>
  </si>
  <si>
    <t>T024; T025</t>
  </si>
  <si>
    <t>CustomerOrganization sozinho não concede acesso a Equipment; cadastro avulso pela equipe é bloqueado.</t>
  </si>
  <si>
    <t>T024</t>
  </si>
  <si>
    <t>Organization passa a acessar Equipment do Customer somente após possuir OS própria para ele.</t>
  </si>
  <si>
    <t>Cobertura unitária atual mantida.</t>
  </si>
  <si>
    <t>T023; T024</t>
  </si>
  <si>
    <t>Isolamento entre Organizations validado na criação e no acesso a Equipment.</t>
  </si>
  <si>
    <t>T020</t>
  </si>
  <si>
    <t>Mesmo Customer possui OS distintas para Notebook e Celular.</t>
  </si>
  <si>
    <t>Próxima etapa: Criar testes do C3 sem introduzir regra nova</t>
  </si>
  <si>
    <t>Itens do C2</t>
  </si>
  <si>
    <t>C2 — Customer / Equipment / Service Order | Meta de Cobertura: 75%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</si>
</sst>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FFFFFF"/>
      <name val="Carlito"/>
    </font>
    <font>
      <sz val="11"/>
      <color rgb="FF7F6000"/>
      <name val="Carlito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9" fontId="0" fillId="0" borderId="0" xfId="0" applyNumberFormat="1"/>
    <xf numFmtId="9" fontId="0" fillId="0" borderId="0" xfId="0" applyNumberFormat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vertical="center" wrapText="1"/>
    </xf>
    <xf numFmtId="0" fontId="4" fillId="5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5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color rgb="FF5F497A"/>
      </font>
      <fill>
        <patternFill patternType="solid">
          <bgColor rgb="FFE4DFEC"/>
        </patternFill>
      </fill>
    </dxf>
    <dxf>
      <font>
        <color rgb="FF843C0C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t>Cobertura atual por cenário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Cobertura</c:v>
          </c:tx>
          <c:invertIfNegative val="1"/>
          <c:cat>
            <c:strRef>
              <c:f>Dashboard!$A$12:$A$18</c:f>
              <c:strCache>
                <c:ptCount val="7"/>
                <c:pt idx="0">
                  <c:v>C01</c:v>
                </c:pt>
                <c:pt idx="1">
                  <c:v>C02</c:v>
                </c:pt>
                <c:pt idx="2">
                  <c:v>C03</c:v>
                </c:pt>
                <c:pt idx="3">
                  <c:v>C04</c:v>
                </c:pt>
                <c:pt idx="4">
                  <c:v>C05</c:v>
                </c:pt>
                <c:pt idx="5">
                  <c:v>C06</c:v>
                </c:pt>
                <c:pt idx="6">
                  <c:v>C07</c:v>
                </c:pt>
              </c:strCache>
            </c:strRef>
          </c:cat>
          <c:val>
            <c:numRef>
              <c:f>Dashboard!$B$12:$B$18</c:f>
              <c:numCache>
                <c:formatCode>0%</c:formatCode>
                <c:ptCount val="7"/>
                <c:pt idx="0">
                  <c:v>0.2</c:v>
                </c:pt>
                <c:pt idx="1">
                  <c:v>0.125</c:v>
                </c:pt>
                <c:pt idx="2">
                  <c:v>0.42857142857142855</c:v>
                </c:pt>
                <c:pt idx="3">
                  <c:v>0</c:v>
                </c:pt>
                <c:pt idx="4">
                  <c:v>0.4</c:v>
                </c:pt>
                <c:pt idx="5">
                  <c:v>0.16666666666666666</c:v>
                </c:pt>
                <c:pt idx="6">
                  <c:v>0.5714285714285714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3-4FB8-BE09-9489444A3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ScenariosTable" displayName="ScenariosTable" ref="A4:J11" totalsRowShown="0">
  <tableColumns count="10">
    <tableColumn id="1" xr3:uid="{00000000-0010-0000-0000-000001000000}" name="ID"/>
    <tableColumn id="2" xr3:uid="{00000000-0010-0000-0000-000002000000}" name="Cenário mestre"/>
    <tableColumn id="3" xr3:uid="{00000000-0010-0000-0000-000003000000}" name="Resumo"/>
    <tableColumn id="4" xr3:uid="{00000000-0010-0000-0000-000004000000}" name="Itens"/>
    <tableColumn id="5" xr3:uid="{00000000-0010-0000-0000-000005000000}" name="Cobertos"/>
    <tableColumn id="6" xr3:uid="{00000000-0010-0000-0000-000006000000}" name="Cobertura"/>
    <tableColumn id="7" xr3:uid="{00000000-0010-0000-0000-000007000000}" name="Meta"/>
    <tableColumn id="8" xr3:uid="{00000000-0010-0000-0000-000008000000}" name="Gap"/>
    <tableColumn id="9" xr3:uid="{00000000-0010-0000-0000-000009000000}" name="Status"/>
    <tableColumn id="10" xr3:uid="{00000000-0010-0000-0000-00000A000000}" name="Foco atu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verageChecklistTable" displayName="CoverageChecklistTable" ref="A4:I55" totalsRowShown="0">
  <tableColumns count="9">
    <tableColumn id="1" xr3:uid="{00000000-0010-0000-0100-000001000000}" name="Cenário"/>
    <tableColumn id="2" xr3:uid="{00000000-0010-0000-0100-000002000000}" name="Item"/>
    <tableColumn id="3" xr3:uid="{00000000-0010-0000-0100-000003000000}" name="Área"/>
    <tableColumn id="4" xr3:uid="{00000000-0010-0000-0100-000004000000}" name="Regra / resultado esperado"/>
    <tableColumn id="5" xr3:uid="{00000000-0010-0000-0100-000005000000}" name="Implementação atual"/>
    <tableColumn id="6" xr3:uid="{00000000-0010-0000-0100-000006000000}" name="Teste atual"/>
    <tableColumn id="7" xr3:uid="{00000000-0010-0000-0100-000007000000}" name="Status"/>
    <tableColumn id="8" xr3:uid="{00000000-0010-0000-0100-000008000000}" name="Teste(s) relacionado(s)"/>
    <tableColumn id="9" xr3:uid="{00000000-0010-0000-0100-000009000000}" name="Observações / próximo pass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CurrentTestsTable" displayName="CurrentTestsTable" ref="A4:H16" totalsRowShown="0">
  <tableColumns count="8">
    <tableColumn id="1" xr3:uid="{00000000-0010-0000-0200-000001000000}" name="ID"/>
    <tableColumn id="2" xr3:uid="{00000000-0010-0000-0200-000002000000}" name="Suíte"/>
    <tableColumn id="3" xr3:uid="{00000000-0010-0000-0200-000003000000}" name="Teste automatizado"/>
    <tableColumn id="4" xr3:uid="{00000000-0010-0000-0200-000004000000}" name="Cenário(s)"/>
    <tableColumn id="5" xr3:uid="{00000000-0010-0000-0200-000005000000}" name="Tipo"/>
    <tableColumn id="6" xr3:uid="{00000000-0010-0000-0200-000006000000}" name="Status"/>
    <tableColumn id="7" xr3:uid="{00000000-0010-0000-0200-000007000000}" name="Cobertura principal"/>
    <tableColumn id="8" xr3:uid="{00000000-0010-0000-0200-000008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1CoverageTable" displayName="_C1CoverageTable" ref="A9:H19" totalsRowShown="0">
  <tableColumns count="8">
    <tableColumn id="1" xr3:uid="{00000000-0010-0000-0300-000001000000}" name="Item"/>
    <tableColumn id="2" xr3:uid="{00000000-0010-0000-0300-000002000000}" name="Área"/>
    <tableColumn id="3" xr3:uid="{00000000-0010-0000-0300-000003000000}" name="Regra / resultado esperado"/>
    <tableColumn id="4" xr3:uid="{00000000-0010-0000-0300-000004000000}" name="Implementação"/>
    <tableColumn id="5" xr3:uid="{00000000-0010-0000-0300-000005000000}" name="Status"/>
    <tableColumn id="6" xr3:uid="{00000000-0010-0000-0300-000006000000}" name="Teste atual"/>
    <tableColumn id="7" xr3:uid="{00000000-0010-0000-0300-000007000000}" name="Prioridade C1"/>
    <tableColumn id="8" xr3:uid="{00000000-0010-0000-0300-000008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06CDD5-B4EC-41EB-BF05-9764E2FDD54E}" name="_C1CoverageTable6" displayName="_C1CoverageTable6" ref="A9:H17" totalsRowShown="0">
  <tableColumns count="8">
    <tableColumn id="1" xr3:uid="{F74AA26F-8C09-4D19-AB83-7E3745B6B149}" name="Item"/>
    <tableColumn id="2" xr3:uid="{EAB7AE88-0B74-4D09-BC2A-C6B07A50F246}" name="Área"/>
    <tableColumn id="3" xr3:uid="{75628F7B-7889-4507-B3FF-F5EAB3D89460}" name="Regra / resultado esperado"/>
    <tableColumn id="4" xr3:uid="{329D180E-1A90-4BC9-89F9-5E0649B1D601}" name="Implementação"/>
    <tableColumn id="5" xr3:uid="{C2727C00-951A-4CEE-87A3-1D9D35C4AA29}" name="Status"/>
    <tableColumn id="6" xr3:uid="{5D2304A9-46C9-4BF4-834B-A6FC4B30B9C6}" name="Teste atual"/>
    <tableColumn id="7" xr3:uid="{E2BFF680-7446-404C-8257-C6AF89EF5D58}" name="Prioridade C2"/>
    <tableColumn id="8" xr3:uid="{89D3AE9C-D4E0-46C1-A22E-1FD9F02D01C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workbookViewId="0"/>
  </sheetViews>
  <sheetFormatPr defaultRowHeight="14.25"/>
  <cols>
    <col min="1" max="1" width="30" customWidth="1"/>
    <col min="2" max="2" width="22" customWidth="1"/>
    <col min="3" max="3" width="16" customWidth="1"/>
    <col min="4" max="4" width="26" customWidth="1"/>
    <col min="5" max="5" width="20" customWidth="1"/>
    <col min="6" max="8" width="18" customWidth="1"/>
  </cols>
  <sheetData>
    <row r="1" spans="1:8" ht="20.25">
      <c r="A1" s="5" t="s">
        <v>0</v>
      </c>
      <c r="B1" s="5"/>
      <c r="C1" s="5"/>
      <c r="D1" s="5"/>
      <c r="E1" s="5"/>
      <c r="F1" s="5"/>
      <c r="G1" s="5"/>
      <c r="H1" s="5"/>
    </row>
    <row r="2" spans="1:8">
      <c r="A2" s="6" t="s">
        <v>1</v>
      </c>
      <c r="B2" s="6"/>
      <c r="C2" s="6"/>
      <c r="D2" s="6"/>
      <c r="E2" s="6"/>
      <c r="F2" s="6"/>
      <c r="G2" s="6"/>
      <c r="H2" s="6"/>
    </row>
    <row r="3" spans="1:8">
      <c r="A3" s="2"/>
      <c r="B3" s="2"/>
      <c r="C3" s="2"/>
      <c r="D3" s="2"/>
      <c r="E3" s="2"/>
      <c r="F3" s="2"/>
      <c r="G3" s="2"/>
      <c r="H3" s="2"/>
    </row>
    <row r="4" spans="1:8" ht="15">
      <c r="A4" s="1" t="s">
        <v>2</v>
      </c>
      <c r="B4" s="1" t="s">
        <v>3</v>
      </c>
      <c r="C4" s="2"/>
      <c r="D4" s="1" t="s">
        <v>4</v>
      </c>
      <c r="E4" s="1" t="s">
        <v>3</v>
      </c>
      <c r="F4" s="2"/>
      <c r="G4" s="2"/>
      <c r="H4" s="2"/>
    </row>
    <row r="5" spans="1:8">
      <c r="A5" s="2" t="s">
        <v>5</v>
      </c>
      <c r="B5" s="2">
        <v>12</v>
      </c>
      <c r="C5" s="2"/>
      <c r="D5" s="2" t="s">
        <v>6</v>
      </c>
      <c r="E5" s="2">
        <f>'C1 - Meta 75'!B4</f>
        <v>10</v>
      </c>
      <c r="F5" s="2"/>
      <c r="G5" s="2"/>
      <c r="H5" s="2"/>
    </row>
    <row r="6" spans="1:8">
      <c r="A6" s="2" t="s">
        <v>7</v>
      </c>
      <c r="B6" s="2">
        <v>4</v>
      </c>
      <c r="C6" s="2"/>
      <c r="D6" s="2" t="s">
        <v>8</v>
      </c>
      <c r="E6" s="2">
        <f>'C1 - Meta 75'!B5</f>
        <v>8</v>
      </c>
      <c r="F6" s="2"/>
      <c r="G6" s="2"/>
      <c r="H6" s="2"/>
    </row>
    <row r="7" spans="1:8">
      <c r="A7" s="2" t="s">
        <v>9</v>
      </c>
      <c r="B7" s="2" t="s">
        <v>10</v>
      </c>
      <c r="C7" s="2"/>
      <c r="D7" s="2" t="s">
        <v>11</v>
      </c>
      <c r="E7" s="4">
        <f>'C1 - Meta 75'!B6</f>
        <v>0.8</v>
      </c>
      <c r="F7" s="2"/>
      <c r="G7" s="2"/>
      <c r="H7" s="2"/>
    </row>
    <row r="8" spans="1:8">
      <c r="A8" s="2" t="s">
        <v>12</v>
      </c>
      <c r="B8" s="2" t="s">
        <v>13</v>
      </c>
      <c r="C8" s="2"/>
      <c r="D8" s="2" t="s">
        <v>14</v>
      </c>
      <c r="E8" s="4">
        <f>'C1 - Meta 75'!B7</f>
        <v>0.75</v>
      </c>
      <c r="F8" s="2"/>
      <c r="G8" s="2"/>
      <c r="H8" s="2"/>
    </row>
    <row r="9" spans="1:8">
      <c r="A9" s="2"/>
      <c r="B9" s="2"/>
      <c r="C9" s="2"/>
      <c r="D9" s="2" t="s">
        <v>15</v>
      </c>
      <c r="E9" s="4">
        <f>MAX(0,E8-E7)</f>
        <v>0</v>
      </c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 ht="15">
      <c r="A11" s="1" t="s">
        <v>16</v>
      </c>
      <c r="B11" s="1" t="s">
        <v>17</v>
      </c>
      <c r="C11" s="1" t="s">
        <v>14</v>
      </c>
      <c r="D11" s="2"/>
      <c r="E11" s="2"/>
      <c r="F11" s="2"/>
      <c r="G11" s="2"/>
      <c r="H11" s="2"/>
    </row>
    <row r="12" spans="1:8">
      <c r="A12" s="2" t="s">
        <v>18</v>
      </c>
      <c r="B12" s="4">
        <f>Cenarios!F5</f>
        <v>0.2</v>
      </c>
      <c r="C12" s="4">
        <v>0.75</v>
      </c>
      <c r="D12" s="2"/>
      <c r="E12" s="2"/>
      <c r="F12" s="2"/>
      <c r="G12" s="2"/>
      <c r="H12" s="2"/>
    </row>
    <row r="13" spans="1:8">
      <c r="A13" s="2" t="s">
        <v>19</v>
      </c>
      <c r="B13" s="4">
        <f>Cenarios!F6</f>
        <v>0.125</v>
      </c>
      <c r="C13" s="4">
        <v>0.75</v>
      </c>
      <c r="D13" s="2"/>
      <c r="E13" s="2"/>
      <c r="F13" s="2"/>
      <c r="G13" s="2"/>
      <c r="H13" s="2"/>
    </row>
    <row r="14" spans="1:8">
      <c r="A14" s="2" t="s">
        <v>20</v>
      </c>
      <c r="B14" s="4">
        <f>Cenarios!F7</f>
        <v>0.42857142857142855</v>
      </c>
      <c r="C14" s="4">
        <v>0.75</v>
      </c>
      <c r="D14" s="2"/>
      <c r="E14" s="2"/>
      <c r="F14" s="2"/>
      <c r="G14" s="2"/>
      <c r="H14" s="2"/>
    </row>
    <row r="15" spans="1:8">
      <c r="A15" s="2" t="s">
        <v>21</v>
      </c>
      <c r="B15" s="4">
        <f>Cenarios!F8</f>
        <v>0</v>
      </c>
      <c r="C15" s="4">
        <v>0.75</v>
      </c>
      <c r="D15" s="2"/>
      <c r="E15" s="2"/>
      <c r="F15" s="2"/>
      <c r="G15" s="2"/>
      <c r="H15" s="2"/>
    </row>
    <row r="16" spans="1:8">
      <c r="A16" s="2" t="s">
        <v>22</v>
      </c>
      <c r="B16" s="4">
        <f>Cenarios!F9</f>
        <v>0.4</v>
      </c>
      <c r="C16" s="4">
        <v>0.75</v>
      </c>
      <c r="D16" s="2"/>
      <c r="E16" s="2"/>
      <c r="F16" s="2"/>
      <c r="G16" s="2"/>
      <c r="H16" s="2"/>
    </row>
    <row r="17" spans="1:8">
      <c r="A17" s="2" t="s">
        <v>23</v>
      </c>
      <c r="B17" s="4">
        <f>Cenarios!F10</f>
        <v>0.16666666666666666</v>
      </c>
      <c r="C17" s="4">
        <v>0.75</v>
      </c>
      <c r="D17" s="2"/>
      <c r="E17" s="2"/>
      <c r="F17" s="2"/>
      <c r="G17" s="2"/>
      <c r="H17" s="2"/>
    </row>
    <row r="18" spans="1:8">
      <c r="A18" s="2" t="s">
        <v>24</v>
      </c>
      <c r="B18" s="4">
        <f>Cenarios!F11</f>
        <v>0.5714285714285714</v>
      </c>
      <c r="C18" s="4">
        <v>0.75</v>
      </c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7" t="s">
        <v>25</v>
      </c>
      <c r="B21" s="7"/>
      <c r="C21" s="7"/>
      <c r="D21" s="7"/>
      <c r="E21" s="7"/>
      <c r="F21" s="7"/>
      <c r="G21" s="7"/>
      <c r="H21" s="7"/>
    </row>
    <row r="22" spans="1:8">
      <c r="A22" s="7"/>
      <c r="B22" s="7"/>
      <c r="C22" s="7"/>
      <c r="D22" s="7"/>
      <c r="E22" s="7"/>
      <c r="F22" s="7"/>
      <c r="G22" s="7"/>
      <c r="H22" s="7"/>
    </row>
    <row r="23" spans="1:8">
      <c r="A23" s="7"/>
      <c r="B23" s="7"/>
      <c r="C23" s="7"/>
      <c r="D23" s="7"/>
      <c r="E23" s="7"/>
      <c r="F23" s="7"/>
      <c r="G23" s="7"/>
      <c r="H23" s="7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</sheetData>
  <mergeCells count="3">
    <mergeCell ref="A1:H1"/>
    <mergeCell ref="A2:H2"/>
    <mergeCell ref="A21:H2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/>
  </sheetViews>
  <sheetFormatPr defaultRowHeight="14.25"/>
  <cols>
    <col min="1" max="1" width="12" customWidth="1"/>
    <col min="2" max="2" width="30" customWidth="1"/>
    <col min="3" max="3" width="52" customWidth="1"/>
    <col min="4" max="5" width="12" customWidth="1"/>
    <col min="6" max="6" width="14" customWidth="1"/>
    <col min="7" max="8" width="12" customWidth="1"/>
    <col min="9" max="9" width="18" customWidth="1"/>
    <col min="10" max="10" width="14" customWidth="1"/>
  </cols>
  <sheetData>
    <row r="1" spans="1:10" ht="20.25">
      <c r="A1" s="8" t="s">
        <v>26</v>
      </c>
      <c r="B1" s="8"/>
      <c r="C1" s="8"/>
      <c r="D1" s="8"/>
      <c r="E1" s="8"/>
      <c r="F1" s="8"/>
      <c r="G1" s="8"/>
      <c r="H1" s="8"/>
      <c r="I1" s="8"/>
      <c r="J1" s="8"/>
    </row>
    <row r="2" spans="1:10">
      <c r="A2" s="7" t="s">
        <v>27</v>
      </c>
      <c r="B2" s="7"/>
      <c r="C2" s="7"/>
      <c r="D2" s="7"/>
      <c r="E2" s="7"/>
      <c r="F2" s="7"/>
      <c r="G2" s="7"/>
      <c r="H2" s="7"/>
      <c r="I2" s="7"/>
      <c r="J2" s="7"/>
    </row>
    <row r="4" spans="1:10" ht="15">
      <c r="A4" s="1" t="s">
        <v>28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17</v>
      </c>
      <c r="G4" s="1" t="s">
        <v>14</v>
      </c>
      <c r="H4" s="1" t="s">
        <v>15</v>
      </c>
      <c r="I4" s="1" t="s">
        <v>33</v>
      </c>
      <c r="J4" s="1" t="s">
        <v>34</v>
      </c>
    </row>
    <row r="5" spans="1:10" ht="28.5">
      <c r="A5" s="2" t="s">
        <v>18</v>
      </c>
      <c r="B5" s="2" t="s">
        <v>35</v>
      </c>
      <c r="C5" s="2" t="s">
        <v>36</v>
      </c>
      <c r="D5" s="2">
        <f>COUNTIF(Checklist!$A$5:$A$55,A5)</f>
        <v>10</v>
      </c>
      <c r="E5" s="2">
        <f>COUNTIFS(Checklist!$A$5:$A$55,A5,Checklist!$G$5:$G$55,"COBERTO")</f>
        <v>2</v>
      </c>
      <c r="F5" s="4">
        <f t="shared" ref="F5:F11" si="0">IF(D5=0,0,E5/D5)</f>
        <v>0.2</v>
      </c>
      <c r="G5" s="4">
        <v>0.75</v>
      </c>
      <c r="H5" s="4">
        <f t="shared" ref="H5:H11" si="1">MAX(0,G5-F5)</f>
        <v>0.55000000000000004</v>
      </c>
      <c r="I5" s="2" t="str">
        <f t="shared" ref="I5:I11" si="2">IF(F5&gt;=G5,"META ATINGIDA",IF(F5&gt;0,"EM PROGRESSO","NÃO INICIADO"))</f>
        <v>EM PROGRESSO</v>
      </c>
      <c r="J5" s="2" t="s">
        <v>37</v>
      </c>
    </row>
    <row r="6" spans="1:10" ht="28.5">
      <c r="A6" s="2" t="s">
        <v>19</v>
      </c>
      <c r="B6" s="2" t="s">
        <v>38</v>
      </c>
      <c r="C6" s="2" t="s">
        <v>39</v>
      </c>
      <c r="D6" s="2">
        <f>COUNTIF(Checklist!$A$5:$A$55,A6)</f>
        <v>8</v>
      </c>
      <c r="E6" s="2">
        <f>COUNTIFS(Checklist!$A$5:$A$55,A6,Checklist!$G$5:$G$55,"COBERTO")</f>
        <v>1</v>
      </c>
      <c r="F6" s="4">
        <f t="shared" si="0"/>
        <v>0.125</v>
      </c>
      <c r="G6" s="4">
        <v>0.75</v>
      </c>
      <c r="H6" s="4">
        <f t="shared" si="1"/>
        <v>0.625</v>
      </c>
      <c r="I6" s="2" t="str">
        <f t="shared" si="2"/>
        <v>EM PROGRESSO</v>
      </c>
      <c r="J6" s="2" t="s">
        <v>40</v>
      </c>
    </row>
    <row r="7" spans="1:10" ht="28.5">
      <c r="A7" s="2" t="s">
        <v>20</v>
      </c>
      <c r="B7" s="2" t="s">
        <v>41</v>
      </c>
      <c r="C7" s="2" t="s">
        <v>42</v>
      </c>
      <c r="D7" s="2">
        <f>COUNTIF(Checklist!$A$5:$A$55,A7)</f>
        <v>7</v>
      </c>
      <c r="E7" s="2">
        <f>COUNTIFS(Checklist!$A$5:$A$55,A7,Checklist!$G$5:$G$55,"COBERTO")</f>
        <v>3</v>
      </c>
      <c r="F7" s="4">
        <f t="shared" si="0"/>
        <v>0.42857142857142855</v>
      </c>
      <c r="G7" s="4">
        <v>0.75</v>
      </c>
      <c r="H7" s="4">
        <f t="shared" si="1"/>
        <v>0.32142857142857145</v>
      </c>
      <c r="I7" s="2" t="str">
        <f t="shared" si="2"/>
        <v>EM PROGRESSO</v>
      </c>
      <c r="J7" s="2" t="s">
        <v>40</v>
      </c>
    </row>
    <row r="8" spans="1:10" ht="28.5">
      <c r="A8" s="2" t="s">
        <v>21</v>
      </c>
      <c r="B8" s="2" t="s">
        <v>43</v>
      </c>
      <c r="C8" s="2" t="s">
        <v>44</v>
      </c>
      <c r="D8" s="2">
        <f>COUNTIF(Checklist!$A$5:$A$55,A8)</f>
        <v>8</v>
      </c>
      <c r="E8" s="2">
        <f>COUNTIFS(Checklist!$A$5:$A$55,A8,Checklist!$G$5:$G$55,"COBERTO")</f>
        <v>0</v>
      </c>
      <c r="F8" s="4">
        <f t="shared" si="0"/>
        <v>0</v>
      </c>
      <c r="G8" s="4">
        <v>0.75</v>
      </c>
      <c r="H8" s="4">
        <f t="shared" si="1"/>
        <v>0.75</v>
      </c>
      <c r="I8" s="2" t="str">
        <f t="shared" si="2"/>
        <v>NÃO INICIADO</v>
      </c>
      <c r="J8" s="2" t="s">
        <v>40</v>
      </c>
    </row>
    <row r="9" spans="1:10" ht="28.5">
      <c r="A9" s="2" t="s">
        <v>22</v>
      </c>
      <c r="B9" s="2" t="s">
        <v>45</v>
      </c>
      <c r="C9" s="2" t="s">
        <v>46</v>
      </c>
      <c r="D9" s="2">
        <f>COUNTIF(Checklist!$A$5:$A$55,A9)</f>
        <v>5</v>
      </c>
      <c r="E9" s="2">
        <f>COUNTIFS(Checklist!$A$5:$A$55,A9,Checklist!$G$5:$G$55,"COBERTO")</f>
        <v>2</v>
      </c>
      <c r="F9" s="4">
        <f t="shared" si="0"/>
        <v>0.4</v>
      </c>
      <c r="G9" s="4">
        <v>0.75</v>
      </c>
      <c r="H9" s="4">
        <f t="shared" si="1"/>
        <v>0.35</v>
      </c>
      <c r="I9" s="2" t="str">
        <f t="shared" si="2"/>
        <v>EM PROGRESSO</v>
      </c>
      <c r="J9" s="2" t="s">
        <v>40</v>
      </c>
    </row>
    <row r="10" spans="1:10" ht="28.5">
      <c r="A10" s="2" t="s">
        <v>23</v>
      </c>
      <c r="B10" s="2" t="s">
        <v>47</v>
      </c>
      <c r="C10" s="2" t="s">
        <v>48</v>
      </c>
      <c r="D10" s="2">
        <f>COUNTIF(Checklist!$A$5:$A$55,A10)</f>
        <v>6</v>
      </c>
      <c r="E10" s="2">
        <f>COUNTIFS(Checklist!$A$5:$A$55,A10,Checklist!$G$5:$G$55,"COBERTO")</f>
        <v>1</v>
      </c>
      <c r="F10" s="4">
        <f t="shared" si="0"/>
        <v>0.16666666666666666</v>
      </c>
      <c r="G10" s="4">
        <v>0.75</v>
      </c>
      <c r="H10" s="4">
        <f t="shared" si="1"/>
        <v>0.58333333333333337</v>
      </c>
      <c r="I10" s="2" t="str">
        <f t="shared" si="2"/>
        <v>EM PROGRESSO</v>
      </c>
      <c r="J10" s="2" t="s">
        <v>40</v>
      </c>
    </row>
    <row r="11" spans="1:10" ht="28.5">
      <c r="A11" s="2" t="s">
        <v>24</v>
      </c>
      <c r="B11" s="2" t="s">
        <v>49</v>
      </c>
      <c r="C11" s="2" t="s">
        <v>50</v>
      </c>
      <c r="D11" s="2">
        <f>COUNTIF(Checklist!$A$5:$A$55,A11)</f>
        <v>7</v>
      </c>
      <c r="E11" s="2">
        <f>COUNTIFS(Checklist!$A$5:$A$55,A11,Checklist!$G$5:$G$55,"COBERTO")</f>
        <v>4</v>
      </c>
      <c r="F11" s="4">
        <f t="shared" si="0"/>
        <v>0.5714285714285714</v>
      </c>
      <c r="G11" s="4">
        <v>0.75</v>
      </c>
      <c r="H11" s="4">
        <f t="shared" si="1"/>
        <v>0.1785714285714286</v>
      </c>
      <c r="I11" s="2" t="str">
        <f t="shared" si="2"/>
        <v>EM PROGRESSO</v>
      </c>
      <c r="J11" s="2" t="s">
        <v>40</v>
      </c>
    </row>
  </sheetData>
  <mergeCells count="2">
    <mergeCell ref="A1:J1"/>
    <mergeCell ref="A2:J2"/>
  </mergeCells>
  <conditionalFormatting sqref="F5:F11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{31F10B5D-9CD2-BF59-5A54-BA04ECEA973F}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F10B5D-9CD2-BF59-5A54-BA04ECEA973F}">
            <x14:dataBar>
              <x14:cfvo type="min"/>
              <x14:cfvo type="max"/>
              <x14:negativeFillColor auto="1"/>
              <x14:axisColor auto="1"/>
            </x14:dataBar>
          </x14:cfRule>
          <xm:sqref>F5:F11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workbookViewId="0"/>
  </sheetViews>
  <sheetFormatPr defaultRowHeight="14.25"/>
  <cols>
    <col min="1" max="1" width="10" customWidth="1"/>
    <col min="2" max="2" width="12" customWidth="1"/>
    <col min="3" max="3" width="22" customWidth="1"/>
    <col min="4" max="4" width="52" customWidth="1"/>
    <col min="5" max="5" width="22" customWidth="1"/>
    <col min="6" max="6" width="14" customWidth="1"/>
    <col min="7" max="7" width="24" customWidth="1"/>
    <col min="8" max="8" width="20" customWidth="1"/>
    <col min="9" max="9" width="46" customWidth="1"/>
  </cols>
  <sheetData>
    <row r="1" spans="1:9" ht="20.25">
      <c r="A1" s="8" t="s">
        <v>51</v>
      </c>
      <c r="B1" s="8"/>
      <c r="C1" s="8"/>
      <c r="D1" s="8"/>
      <c r="E1" s="8"/>
      <c r="F1" s="8"/>
      <c r="G1" s="8"/>
      <c r="H1" s="8"/>
      <c r="I1" s="8"/>
    </row>
    <row r="2" spans="1:9">
      <c r="A2" s="7" t="s">
        <v>52</v>
      </c>
      <c r="B2" s="7"/>
      <c r="C2" s="7"/>
      <c r="D2" s="7"/>
      <c r="E2" s="7"/>
      <c r="F2" s="7"/>
      <c r="G2" s="7"/>
      <c r="H2" s="7"/>
      <c r="I2" s="7"/>
    </row>
    <row r="4" spans="1:9" ht="30">
      <c r="A4" s="1" t="s">
        <v>16</v>
      </c>
      <c r="B4" s="1" t="s">
        <v>53</v>
      </c>
      <c r="C4" s="1" t="s">
        <v>54</v>
      </c>
      <c r="D4" s="1" t="s">
        <v>55</v>
      </c>
      <c r="E4" s="1" t="s">
        <v>56</v>
      </c>
      <c r="F4" s="1" t="s">
        <v>57</v>
      </c>
      <c r="G4" s="1" t="s">
        <v>33</v>
      </c>
      <c r="H4" s="1" t="s">
        <v>58</v>
      </c>
      <c r="I4" s="1" t="s">
        <v>59</v>
      </c>
    </row>
    <row r="5" spans="1:9" ht="15">
      <c r="A5" s="2" t="s">
        <v>18</v>
      </c>
      <c r="B5" s="2" t="s">
        <v>60</v>
      </c>
      <c r="C5" s="2" t="s">
        <v>61</v>
      </c>
      <c r="D5" s="2" t="s">
        <v>62</v>
      </c>
      <c r="E5" s="2" t="s">
        <v>63</v>
      </c>
      <c r="F5" s="2" t="s">
        <v>37</v>
      </c>
      <c r="G5" s="2" t="s">
        <v>64</v>
      </c>
      <c r="H5" s="2" t="s">
        <v>65</v>
      </c>
      <c r="I5" s="2" t="s">
        <v>66</v>
      </c>
    </row>
    <row r="6" spans="1:9" ht="15">
      <c r="A6" s="2" t="s">
        <v>18</v>
      </c>
      <c r="B6" s="2" t="s">
        <v>67</v>
      </c>
      <c r="C6" s="2" t="s">
        <v>61</v>
      </c>
      <c r="D6" s="2" t="s">
        <v>68</v>
      </c>
      <c r="E6" s="2" t="s">
        <v>63</v>
      </c>
      <c r="F6" s="2" t="s">
        <v>37</v>
      </c>
      <c r="G6" s="2" t="s">
        <v>64</v>
      </c>
      <c r="H6" s="2" t="s">
        <v>69</v>
      </c>
      <c r="I6" s="2" t="s">
        <v>66</v>
      </c>
    </row>
    <row r="7" spans="1:9" ht="28.5">
      <c r="A7" s="2" t="s">
        <v>18</v>
      </c>
      <c r="B7" s="2" t="s">
        <v>70</v>
      </c>
      <c r="C7" s="2" t="s">
        <v>71</v>
      </c>
      <c r="D7" s="2" t="s">
        <v>72</v>
      </c>
      <c r="E7" s="2" t="s">
        <v>63</v>
      </c>
      <c r="F7" s="2" t="s">
        <v>40</v>
      </c>
      <c r="G7" s="2" t="s">
        <v>73</v>
      </c>
      <c r="H7" s="2"/>
      <c r="I7" s="2" t="s">
        <v>74</v>
      </c>
    </row>
    <row r="8" spans="1:9" ht="28.5">
      <c r="A8" s="2" t="s">
        <v>18</v>
      </c>
      <c r="B8" s="2" t="s">
        <v>75</v>
      </c>
      <c r="C8" s="2" t="s">
        <v>76</v>
      </c>
      <c r="D8" s="2" t="s">
        <v>77</v>
      </c>
      <c r="E8" s="2" t="s">
        <v>63</v>
      </c>
      <c r="F8" s="2" t="s">
        <v>40</v>
      </c>
      <c r="G8" s="2" t="s">
        <v>73</v>
      </c>
      <c r="H8" s="2"/>
      <c r="I8" s="2" t="s">
        <v>78</v>
      </c>
    </row>
    <row r="9" spans="1:9" ht="28.5">
      <c r="A9" s="2" t="s">
        <v>18</v>
      </c>
      <c r="B9" s="2" t="s">
        <v>79</v>
      </c>
      <c r="C9" s="2" t="s">
        <v>80</v>
      </c>
      <c r="D9" s="2" t="s">
        <v>81</v>
      </c>
      <c r="E9" s="2" t="s">
        <v>63</v>
      </c>
      <c r="F9" s="2" t="s">
        <v>40</v>
      </c>
      <c r="G9" s="2" t="s">
        <v>73</v>
      </c>
      <c r="H9" s="2"/>
      <c r="I9" s="2" t="s">
        <v>82</v>
      </c>
    </row>
    <row r="10" spans="1:9">
      <c r="A10" s="2" t="s">
        <v>18</v>
      </c>
      <c r="B10" s="2" t="s">
        <v>83</v>
      </c>
      <c r="C10" s="2" t="s">
        <v>80</v>
      </c>
      <c r="D10" s="2" t="s">
        <v>84</v>
      </c>
      <c r="E10" s="2" t="s">
        <v>63</v>
      </c>
      <c r="F10" s="2" t="s">
        <v>40</v>
      </c>
      <c r="G10" s="2" t="s">
        <v>73</v>
      </c>
      <c r="H10" s="2"/>
      <c r="I10" s="2" t="s">
        <v>85</v>
      </c>
    </row>
    <row r="11" spans="1:9" ht="28.5">
      <c r="A11" s="2" t="s">
        <v>18</v>
      </c>
      <c r="B11" s="2" t="s">
        <v>86</v>
      </c>
      <c r="C11" s="2" t="s">
        <v>87</v>
      </c>
      <c r="D11" s="2" t="s">
        <v>88</v>
      </c>
      <c r="E11" s="2" t="s">
        <v>63</v>
      </c>
      <c r="F11" s="2" t="s">
        <v>40</v>
      </c>
      <c r="G11" s="2" t="s">
        <v>73</v>
      </c>
      <c r="H11" s="2"/>
      <c r="I11" s="2" t="s">
        <v>89</v>
      </c>
    </row>
    <row r="12" spans="1:9" ht="28.5">
      <c r="A12" s="2" t="s">
        <v>18</v>
      </c>
      <c r="B12" s="2" t="s">
        <v>90</v>
      </c>
      <c r="C12" s="2" t="s">
        <v>91</v>
      </c>
      <c r="D12" s="2" t="s">
        <v>92</v>
      </c>
      <c r="E12" s="2" t="s">
        <v>93</v>
      </c>
      <c r="F12" s="2" t="s">
        <v>40</v>
      </c>
      <c r="G12" s="2" t="s">
        <v>73</v>
      </c>
      <c r="H12" s="2"/>
      <c r="I12" s="2" t="s">
        <v>94</v>
      </c>
    </row>
    <row r="13" spans="1:9" ht="28.5">
      <c r="A13" s="2" t="s">
        <v>18</v>
      </c>
      <c r="B13" s="2" t="s">
        <v>95</v>
      </c>
      <c r="C13" s="2" t="s">
        <v>96</v>
      </c>
      <c r="D13" s="2" t="s">
        <v>97</v>
      </c>
      <c r="E13" s="2" t="s">
        <v>98</v>
      </c>
      <c r="F13" s="2" t="s">
        <v>40</v>
      </c>
      <c r="G13" s="2" t="s">
        <v>99</v>
      </c>
      <c r="H13" s="2"/>
      <c r="I13" s="2" t="s">
        <v>100</v>
      </c>
    </row>
    <row r="14" spans="1:9" ht="28.5">
      <c r="A14" s="2" t="s">
        <v>18</v>
      </c>
      <c r="B14" s="2" t="s">
        <v>101</v>
      </c>
      <c r="C14" s="2" t="s">
        <v>102</v>
      </c>
      <c r="D14" s="2" t="s">
        <v>103</v>
      </c>
      <c r="E14" s="2" t="s">
        <v>98</v>
      </c>
      <c r="F14" s="2" t="s">
        <v>40</v>
      </c>
      <c r="G14" s="2" t="s">
        <v>99</v>
      </c>
      <c r="H14" s="2"/>
      <c r="I14" s="2" t="s">
        <v>104</v>
      </c>
    </row>
    <row r="15" spans="1:9" ht="28.5">
      <c r="A15" s="2" t="s">
        <v>19</v>
      </c>
      <c r="B15" s="2" t="s">
        <v>105</v>
      </c>
      <c r="C15" s="2" t="s">
        <v>106</v>
      </c>
      <c r="D15" s="2" t="s">
        <v>107</v>
      </c>
      <c r="E15" s="2" t="s">
        <v>63</v>
      </c>
      <c r="F15" s="2" t="s">
        <v>40</v>
      </c>
      <c r="G15" s="2" t="s">
        <v>73</v>
      </c>
      <c r="H15" s="2"/>
      <c r="I15" s="2" t="s">
        <v>108</v>
      </c>
    </row>
    <row r="16" spans="1:9" ht="28.5">
      <c r="A16" s="2" t="s">
        <v>19</v>
      </c>
      <c r="B16" s="2" t="s">
        <v>109</v>
      </c>
      <c r="C16" s="2" t="s">
        <v>110</v>
      </c>
      <c r="D16" s="2" t="s">
        <v>111</v>
      </c>
      <c r="E16" s="2" t="s">
        <v>63</v>
      </c>
      <c r="F16" s="2" t="s">
        <v>40</v>
      </c>
      <c r="G16" s="2" t="s">
        <v>73</v>
      </c>
      <c r="H16" s="2"/>
      <c r="I16" s="2" t="s">
        <v>112</v>
      </c>
    </row>
    <row r="17" spans="1:9">
      <c r="A17" s="2" t="s">
        <v>19</v>
      </c>
      <c r="B17" s="2" t="s">
        <v>113</v>
      </c>
      <c r="C17" s="2" t="s">
        <v>114</v>
      </c>
      <c r="D17" s="2" t="s">
        <v>115</v>
      </c>
      <c r="E17" s="2" t="s">
        <v>63</v>
      </c>
      <c r="F17" s="2" t="s">
        <v>40</v>
      </c>
      <c r="G17" s="2" t="s">
        <v>73</v>
      </c>
      <c r="H17" s="2"/>
      <c r="I17" s="2" t="s">
        <v>116</v>
      </c>
    </row>
    <row r="18" spans="1:9" ht="28.5">
      <c r="A18" s="2" t="s">
        <v>19</v>
      </c>
      <c r="B18" s="2" t="s">
        <v>117</v>
      </c>
      <c r="C18" s="2" t="s">
        <v>118</v>
      </c>
      <c r="D18" s="2" t="s">
        <v>119</v>
      </c>
      <c r="E18" s="2" t="s">
        <v>63</v>
      </c>
      <c r="F18" s="2" t="s">
        <v>40</v>
      </c>
      <c r="G18" s="2" t="s">
        <v>73</v>
      </c>
      <c r="H18" s="2"/>
      <c r="I18" s="2" t="s">
        <v>120</v>
      </c>
    </row>
    <row r="19" spans="1:9" ht="28.5">
      <c r="A19" s="2" t="s">
        <v>19</v>
      </c>
      <c r="B19" s="2" t="s">
        <v>121</v>
      </c>
      <c r="C19" s="2" t="s">
        <v>118</v>
      </c>
      <c r="D19" s="2" t="s">
        <v>122</v>
      </c>
      <c r="E19" s="2" t="s">
        <v>63</v>
      </c>
      <c r="F19" s="2" t="s">
        <v>40</v>
      </c>
      <c r="G19" s="2" t="s">
        <v>73</v>
      </c>
      <c r="H19" s="2"/>
      <c r="I19" s="2" t="s">
        <v>120</v>
      </c>
    </row>
    <row r="20" spans="1:9" ht="29.25">
      <c r="A20" s="2" t="s">
        <v>19</v>
      </c>
      <c r="B20" s="2" t="s">
        <v>123</v>
      </c>
      <c r="C20" s="2" t="s">
        <v>124</v>
      </c>
      <c r="D20" s="2" t="s">
        <v>125</v>
      </c>
      <c r="E20" s="2" t="s">
        <v>63</v>
      </c>
      <c r="F20" s="2" t="s">
        <v>37</v>
      </c>
      <c r="G20" s="2" t="s">
        <v>64</v>
      </c>
      <c r="H20" s="2" t="s">
        <v>126</v>
      </c>
      <c r="I20" s="2" t="s">
        <v>127</v>
      </c>
    </row>
    <row r="21" spans="1:9">
      <c r="A21" s="2" t="s">
        <v>19</v>
      </c>
      <c r="B21" s="2" t="s">
        <v>128</v>
      </c>
      <c r="C21" s="2" t="s">
        <v>91</v>
      </c>
      <c r="D21" s="2" t="s">
        <v>129</v>
      </c>
      <c r="E21" s="2" t="s">
        <v>63</v>
      </c>
      <c r="F21" s="2" t="s">
        <v>40</v>
      </c>
      <c r="G21" s="2" t="s">
        <v>73</v>
      </c>
      <c r="H21" s="2"/>
      <c r="I21" s="2" t="s">
        <v>130</v>
      </c>
    </row>
    <row r="22" spans="1:9" ht="28.5">
      <c r="A22" s="2" t="s">
        <v>19</v>
      </c>
      <c r="B22" s="2" t="s">
        <v>131</v>
      </c>
      <c r="C22" s="2" t="s">
        <v>132</v>
      </c>
      <c r="D22" s="2" t="s">
        <v>133</v>
      </c>
      <c r="E22" s="2" t="s">
        <v>63</v>
      </c>
      <c r="F22" s="2" t="s">
        <v>40</v>
      </c>
      <c r="G22" s="2" t="s">
        <v>73</v>
      </c>
      <c r="H22" s="2"/>
      <c r="I22" s="2" t="s">
        <v>134</v>
      </c>
    </row>
    <row r="23" spans="1:9" ht="15">
      <c r="A23" s="2" t="s">
        <v>20</v>
      </c>
      <c r="B23" s="2" t="s">
        <v>135</v>
      </c>
      <c r="C23" s="2" t="s">
        <v>136</v>
      </c>
      <c r="D23" s="2" t="s">
        <v>137</v>
      </c>
      <c r="E23" s="2" t="s">
        <v>63</v>
      </c>
      <c r="F23" s="2" t="s">
        <v>37</v>
      </c>
      <c r="G23" s="2" t="s">
        <v>64</v>
      </c>
      <c r="H23" s="2" t="s">
        <v>138</v>
      </c>
      <c r="I23" s="2"/>
    </row>
    <row r="24" spans="1:9" ht="15">
      <c r="A24" s="2" t="s">
        <v>20</v>
      </c>
      <c r="B24" s="2" t="s">
        <v>139</v>
      </c>
      <c r="C24" s="2" t="s">
        <v>136</v>
      </c>
      <c r="D24" s="2" t="s">
        <v>140</v>
      </c>
      <c r="E24" s="2" t="s">
        <v>63</v>
      </c>
      <c r="F24" s="2" t="s">
        <v>37</v>
      </c>
      <c r="G24" s="2" t="s">
        <v>64</v>
      </c>
      <c r="H24" s="2" t="s">
        <v>141</v>
      </c>
      <c r="I24" s="2"/>
    </row>
    <row r="25" spans="1:9" ht="15">
      <c r="A25" s="2" t="s">
        <v>20</v>
      </c>
      <c r="B25" s="2" t="s">
        <v>142</v>
      </c>
      <c r="C25" s="2" t="s">
        <v>143</v>
      </c>
      <c r="D25" s="2" t="s">
        <v>144</v>
      </c>
      <c r="E25" s="2" t="s">
        <v>63</v>
      </c>
      <c r="F25" s="2" t="s">
        <v>37</v>
      </c>
      <c r="G25" s="2" t="s">
        <v>64</v>
      </c>
      <c r="H25" s="2" t="s">
        <v>69</v>
      </c>
      <c r="I25" s="2"/>
    </row>
    <row r="26" spans="1:9" ht="28.5">
      <c r="A26" s="2" t="s">
        <v>20</v>
      </c>
      <c r="B26" s="2" t="s">
        <v>145</v>
      </c>
      <c r="C26" s="2" t="s">
        <v>146</v>
      </c>
      <c r="D26" s="2" t="s">
        <v>147</v>
      </c>
      <c r="E26" s="2" t="s">
        <v>148</v>
      </c>
      <c r="F26" s="2" t="s">
        <v>40</v>
      </c>
      <c r="G26" s="2" t="s">
        <v>99</v>
      </c>
      <c r="H26" s="2"/>
      <c r="I26" s="2" t="s">
        <v>149</v>
      </c>
    </row>
    <row r="27" spans="1:9">
      <c r="A27" s="2" t="s">
        <v>20</v>
      </c>
      <c r="B27" s="2" t="s">
        <v>150</v>
      </c>
      <c r="C27" s="2" t="s">
        <v>151</v>
      </c>
      <c r="D27" s="2" t="s">
        <v>152</v>
      </c>
      <c r="E27" s="2" t="s">
        <v>148</v>
      </c>
      <c r="F27" s="2" t="s">
        <v>40</v>
      </c>
      <c r="G27" s="2" t="s">
        <v>73</v>
      </c>
      <c r="H27" s="2"/>
      <c r="I27" s="2" t="s">
        <v>153</v>
      </c>
    </row>
    <row r="28" spans="1:9" ht="28.5">
      <c r="A28" s="2" t="s">
        <v>20</v>
      </c>
      <c r="B28" s="2" t="s">
        <v>154</v>
      </c>
      <c r="C28" s="2" t="s">
        <v>155</v>
      </c>
      <c r="D28" s="2" t="s">
        <v>156</v>
      </c>
      <c r="E28" s="2" t="s">
        <v>93</v>
      </c>
      <c r="F28" s="2" t="s">
        <v>40</v>
      </c>
      <c r="G28" s="2" t="s">
        <v>73</v>
      </c>
      <c r="H28" s="2"/>
      <c r="I28" s="2" t="s">
        <v>157</v>
      </c>
    </row>
    <row r="29" spans="1:9" ht="28.5">
      <c r="A29" s="2" t="s">
        <v>20</v>
      </c>
      <c r="B29" s="2" t="s">
        <v>158</v>
      </c>
      <c r="C29" s="2" t="s">
        <v>159</v>
      </c>
      <c r="D29" s="2" t="s">
        <v>160</v>
      </c>
      <c r="E29" s="2" t="s">
        <v>161</v>
      </c>
      <c r="F29" s="2" t="s">
        <v>40</v>
      </c>
      <c r="G29" s="2" t="s">
        <v>162</v>
      </c>
      <c r="H29" s="2"/>
      <c r="I29" s="2" t="s">
        <v>163</v>
      </c>
    </row>
    <row r="30" spans="1:9" ht="28.5">
      <c r="A30" s="2" t="s">
        <v>21</v>
      </c>
      <c r="B30" s="2" t="s">
        <v>164</v>
      </c>
      <c r="C30" s="2" t="s">
        <v>165</v>
      </c>
      <c r="D30" s="2" t="s">
        <v>166</v>
      </c>
      <c r="E30" s="2" t="s">
        <v>167</v>
      </c>
      <c r="F30" s="2" t="s">
        <v>40</v>
      </c>
      <c r="G30" s="2" t="s">
        <v>99</v>
      </c>
      <c r="H30" s="2"/>
      <c r="I30" s="2" t="s">
        <v>168</v>
      </c>
    </row>
    <row r="31" spans="1:9" ht="28.5">
      <c r="A31" s="2" t="s">
        <v>21</v>
      </c>
      <c r="B31" s="2" t="s">
        <v>169</v>
      </c>
      <c r="C31" s="2" t="s">
        <v>170</v>
      </c>
      <c r="D31" s="2" t="s">
        <v>171</v>
      </c>
      <c r="E31" s="2" t="s">
        <v>167</v>
      </c>
      <c r="F31" s="2" t="s">
        <v>40</v>
      </c>
      <c r="G31" s="2" t="s">
        <v>99</v>
      </c>
      <c r="H31" s="2"/>
      <c r="I31" s="2" t="s">
        <v>172</v>
      </c>
    </row>
    <row r="32" spans="1:9" ht="28.5">
      <c r="A32" s="2" t="s">
        <v>21</v>
      </c>
      <c r="B32" s="2" t="s">
        <v>173</v>
      </c>
      <c r="C32" s="2" t="s">
        <v>174</v>
      </c>
      <c r="D32" s="2" t="s">
        <v>175</v>
      </c>
      <c r="E32" s="2" t="s">
        <v>98</v>
      </c>
      <c r="F32" s="2" t="s">
        <v>40</v>
      </c>
      <c r="G32" s="2" t="s">
        <v>162</v>
      </c>
      <c r="H32" s="2"/>
      <c r="I32" s="2" t="s">
        <v>176</v>
      </c>
    </row>
    <row r="33" spans="1:9" ht="28.5">
      <c r="A33" s="2" t="s">
        <v>21</v>
      </c>
      <c r="B33" s="2" t="s">
        <v>177</v>
      </c>
      <c r="C33" s="2" t="s">
        <v>178</v>
      </c>
      <c r="D33" s="2" t="s">
        <v>179</v>
      </c>
      <c r="E33" s="2" t="s">
        <v>167</v>
      </c>
      <c r="F33" s="2" t="s">
        <v>40</v>
      </c>
      <c r="G33" s="2" t="s">
        <v>99</v>
      </c>
      <c r="H33" s="2"/>
      <c r="I33" s="2" t="s">
        <v>180</v>
      </c>
    </row>
    <row r="34" spans="1:9" ht="28.5">
      <c r="A34" s="2" t="s">
        <v>21</v>
      </c>
      <c r="B34" s="2" t="s">
        <v>181</v>
      </c>
      <c r="C34" s="2" t="s">
        <v>182</v>
      </c>
      <c r="D34" s="2" t="s">
        <v>183</v>
      </c>
      <c r="E34" s="2" t="s">
        <v>98</v>
      </c>
      <c r="F34" s="2" t="s">
        <v>40</v>
      </c>
      <c r="G34" s="2" t="s">
        <v>99</v>
      </c>
      <c r="H34" s="2"/>
      <c r="I34" s="2" t="s">
        <v>184</v>
      </c>
    </row>
    <row r="35" spans="1:9" ht="28.5">
      <c r="A35" s="2" t="s">
        <v>21</v>
      </c>
      <c r="B35" s="2" t="s">
        <v>185</v>
      </c>
      <c r="C35" s="2" t="s">
        <v>186</v>
      </c>
      <c r="D35" s="2" t="s">
        <v>187</v>
      </c>
      <c r="E35" s="2" t="s">
        <v>93</v>
      </c>
      <c r="F35" s="2" t="s">
        <v>40</v>
      </c>
      <c r="G35" s="2" t="s">
        <v>73</v>
      </c>
      <c r="H35" s="2"/>
      <c r="I35" s="2" t="s">
        <v>188</v>
      </c>
    </row>
    <row r="36" spans="1:9" ht="28.5">
      <c r="A36" s="2" t="s">
        <v>21</v>
      </c>
      <c r="B36" s="2" t="s">
        <v>189</v>
      </c>
      <c r="C36" s="2" t="s">
        <v>190</v>
      </c>
      <c r="D36" s="2" t="s">
        <v>191</v>
      </c>
      <c r="E36" s="2" t="s">
        <v>93</v>
      </c>
      <c r="F36" s="2" t="s">
        <v>40</v>
      </c>
      <c r="G36" s="2" t="s">
        <v>73</v>
      </c>
      <c r="H36" s="2"/>
      <c r="I36" s="2" t="s">
        <v>192</v>
      </c>
    </row>
    <row r="37" spans="1:9" ht="28.5">
      <c r="A37" s="2" t="s">
        <v>21</v>
      </c>
      <c r="B37" s="2" t="s">
        <v>193</v>
      </c>
      <c r="C37" s="2" t="s">
        <v>194</v>
      </c>
      <c r="D37" s="2" t="s">
        <v>195</v>
      </c>
      <c r="E37" s="2" t="s">
        <v>63</v>
      </c>
      <c r="F37" s="2" t="s">
        <v>40</v>
      </c>
      <c r="G37" s="2" t="s">
        <v>73</v>
      </c>
      <c r="H37" s="2"/>
      <c r="I37" s="2" t="s">
        <v>196</v>
      </c>
    </row>
    <row r="38" spans="1:9" ht="29.25">
      <c r="A38" s="2" t="s">
        <v>22</v>
      </c>
      <c r="B38" s="2" t="s">
        <v>197</v>
      </c>
      <c r="C38" s="2" t="s">
        <v>198</v>
      </c>
      <c r="D38" s="2" t="s">
        <v>199</v>
      </c>
      <c r="E38" s="2" t="s">
        <v>63</v>
      </c>
      <c r="F38" s="2" t="s">
        <v>37</v>
      </c>
      <c r="G38" s="2" t="s">
        <v>64</v>
      </c>
      <c r="H38" s="2" t="s">
        <v>200</v>
      </c>
      <c r="I38" s="2"/>
    </row>
    <row r="39" spans="1:9" ht="29.25">
      <c r="A39" s="2" t="s">
        <v>22</v>
      </c>
      <c r="B39" s="2" t="s">
        <v>201</v>
      </c>
      <c r="C39" s="2" t="s">
        <v>124</v>
      </c>
      <c r="D39" s="2" t="s">
        <v>202</v>
      </c>
      <c r="E39" s="2" t="s">
        <v>63</v>
      </c>
      <c r="F39" s="2" t="s">
        <v>37</v>
      </c>
      <c r="G39" s="2" t="s">
        <v>64</v>
      </c>
      <c r="H39" s="2" t="s">
        <v>203</v>
      </c>
      <c r="I39" s="2"/>
    </row>
    <row r="40" spans="1:9" ht="28.5">
      <c r="A40" s="2" t="s">
        <v>22</v>
      </c>
      <c r="B40" s="2" t="s">
        <v>204</v>
      </c>
      <c r="C40" s="2" t="s">
        <v>205</v>
      </c>
      <c r="D40" s="2" t="s">
        <v>206</v>
      </c>
      <c r="E40" s="2" t="s">
        <v>63</v>
      </c>
      <c r="F40" s="2" t="s">
        <v>40</v>
      </c>
      <c r="G40" s="2" t="s">
        <v>73</v>
      </c>
      <c r="H40" s="2"/>
      <c r="I40" s="2" t="s">
        <v>207</v>
      </c>
    </row>
    <row r="41" spans="1:9">
      <c r="A41" s="2" t="s">
        <v>22</v>
      </c>
      <c r="B41" s="2" t="s">
        <v>208</v>
      </c>
      <c r="C41" s="2" t="s">
        <v>91</v>
      </c>
      <c r="D41" s="2" t="s">
        <v>209</v>
      </c>
      <c r="E41" s="2" t="s">
        <v>63</v>
      </c>
      <c r="F41" s="2" t="s">
        <v>40</v>
      </c>
      <c r="G41" s="2" t="s">
        <v>73</v>
      </c>
      <c r="H41" s="2"/>
      <c r="I41" s="2" t="s">
        <v>130</v>
      </c>
    </row>
    <row r="42" spans="1:9" ht="28.5">
      <c r="A42" s="2" t="s">
        <v>22</v>
      </c>
      <c r="B42" s="2" t="s">
        <v>210</v>
      </c>
      <c r="C42" s="2" t="s">
        <v>211</v>
      </c>
      <c r="D42" s="2" t="s">
        <v>212</v>
      </c>
      <c r="E42" s="2" t="s">
        <v>98</v>
      </c>
      <c r="F42" s="2" t="s">
        <v>40</v>
      </c>
      <c r="G42" s="2" t="s">
        <v>162</v>
      </c>
      <c r="H42" s="2"/>
      <c r="I42" s="2" t="s">
        <v>213</v>
      </c>
    </row>
    <row r="43" spans="1:9" ht="29.25">
      <c r="A43" s="2" t="s">
        <v>23</v>
      </c>
      <c r="B43" s="2" t="s">
        <v>214</v>
      </c>
      <c r="C43" s="2" t="s">
        <v>215</v>
      </c>
      <c r="D43" s="2" t="s">
        <v>216</v>
      </c>
      <c r="E43" s="2" t="s">
        <v>63</v>
      </c>
      <c r="F43" s="2" t="s">
        <v>37</v>
      </c>
      <c r="G43" s="2" t="s">
        <v>64</v>
      </c>
      <c r="H43" s="2" t="s">
        <v>217</v>
      </c>
      <c r="I43" s="2"/>
    </row>
    <row r="44" spans="1:9" ht="28.5">
      <c r="A44" s="2" t="s">
        <v>23</v>
      </c>
      <c r="B44" s="2" t="s">
        <v>218</v>
      </c>
      <c r="C44" s="2" t="s">
        <v>219</v>
      </c>
      <c r="D44" s="2" t="s">
        <v>220</v>
      </c>
      <c r="E44" s="2" t="s">
        <v>63</v>
      </c>
      <c r="F44" s="2" t="s">
        <v>40</v>
      </c>
      <c r="G44" s="2" t="s">
        <v>73</v>
      </c>
      <c r="H44" s="2"/>
      <c r="I44" s="2" t="s">
        <v>221</v>
      </c>
    </row>
    <row r="45" spans="1:9">
      <c r="A45" s="2" t="s">
        <v>23</v>
      </c>
      <c r="B45" s="2" t="s">
        <v>222</v>
      </c>
      <c r="C45" s="2" t="s">
        <v>124</v>
      </c>
      <c r="D45" s="2" t="s">
        <v>223</v>
      </c>
      <c r="E45" s="2" t="s">
        <v>63</v>
      </c>
      <c r="F45" s="2" t="s">
        <v>40</v>
      </c>
      <c r="G45" s="2" t="s">
        <v>73</v>
      </c>
      <c r="H45" s="2"/>
      <c r="I45" s="2" t="s">
        <v>224</v>
      </c>
    </row>
    <row r="46" spans="1:9" ht="28.5">
      <c r="A46" s="2" t="s">
        <v>23</v>
      </c>
      <c r="B46" s="2" t="s">
        <v>225</v>
      </c>
      <c r="C46" s="2" t="s">
        <v>124</v>
      </c>
      <c r="D46" s="2" t="s">
        <v>226</v>
      </c>
      <c r="E46" s="2" t="s">
        <v>63</v>
      </c>
      <c r="F46" s="2" t="s">
        <v>40</v>
      </c>
      <c r="G46" s="2" t="s">
        <v>73</v>
      </c>
      <c r="H46" s="2"/>
      <c r="I46" s="2" t="s">
        <v>227</v>
      </c>
    </row>
    <row r="47" spans="1:9">
      <c r="A47" s="2" t="s">
        <v>23</v>
      </c>
      <c r="B47" s="2" t="s">
        <v>228</v>
      </c>
      <c r="C47" s="2" t="s">
        <v>229</v>
      </c>
      <c r="D47" s="2" t="s">
        <v>230</v>
      </c>
      <c r="E47" s="2" t="s">
        <v>63</v>
      </c>
      <c r="F47" s="2" t="s">
        <v>40</v>
      </c>
      <c r="G47" s="2" t="s">
        <v>73</v>
      </c>
      <c r="H47" s="2"/>
      <c r="I47" s="2" t="s">
        <v>231</v>
      </c>
    </row>
    <row r="48" spans="1:9" ht="28.5">
      <c r="A48" s="2" t="s">
        <v>23</v>
      </c>
      <c r="B48" s="2" t="s">
        <v>232</v>
      </c>
      <c r="C48" s="2" t="s">
        <v>91</v>
      </c>
      <c r="D48" s="2" t="s">
        <v>233</v>
      </c>
      <c r="E48" s="2" t="s">
        <v>63</v>
      </c>
      <c r="F48" s="2" t="s">
        <v>40</v>
      </c>
      <c r="G48" s="2" t="s">
        <v>73</v>
      </c>
      <c r="H48" s="2"/>
      <c r="I48" s="2" t="s">
        <v>130</v>
      </c>
    </row>
    <row r="49" spans="1:9" ht="15">
      <c r="A49" s="2" t="s">
        <v>24</v>
      </c>
      <c r="B49" s="2" t="s">
        <v>234</v>
      </c>
      <c r="C49" s="2" t="s">
        <v>198</v>
      </c>
      <c r="D49" s="2" t="s">
        <v>235</v>
      </c>
      <c r="E49" s="2" t="s">
        <v>63</v>
      </c>
      <c r="F49" s="2" t="s">
        <v>37</v>
      </c>
      <c r="G49" s="2" t="s">
        <v>64</v>
      </c>
      <c r="H49" s="2" t="s">
        <v>236</v>
      </c>
      <c r="I49" s="2"/>
    </row>
    <row r="50" spans="1:9" ht="15">
      <c r="A50" s="2" t="s">
        <v>24</v>
      </c>
      <c r="B50" s="2" t="s">
        <v>237</v>
      </c>
      <c r="C50" s="2" t="s">
        <v>198</v>
      </c>
      <c r="D50" s="2" t="s">
        <v>238</v>
      </c>
      <c r="E50" s="2" t="s">
        <v>63</v>
      </c>
      <c r="F50" s="2" t="s">
        <v>37</v>
      </c>
      <c r="G50" s="2" t="s">
        <v>64</v>
      </c>
      <c r="H50" s="2" t="s">
        <v>239</v>
      </c>
      <c r="I50" s="2"/>
    </row>
    <row r="51" spans="1:9" ht="15">
      <c r="A51" s="2" t="s">
        <v>24</v>
      </c>
      <c r="B51" s="2" t="s">
        <v>240</v>
      </c>
      <c r="C51" s="2" t="s">
        <v>124</v>
      </c>
      <c r="D51" s="2" t="s">
        <v>241</v>
      </c>
      <c r="E51" s="2" t="s">
        <v>63</v>
      </c>
      <c r="F51" s="2" t="s">
        <v>37</v>
      </c>
      <c r="G51" s="2" t="s">
        <v>64</v>
      </c>
      <c r="H51" s="2" t="s">
        <v>126</v>
      </c>
      <c r="I51" s="2"/>
    </row>
    <row r="52" spans="1:9" ht="15">
      <c r="A52" s="2" t="s">
        <v>24</v>
      </c>
      <c r="B52" s="2" t="s">
        <v>242</v>
      </c>
      <c r="C52" s="2" t="s">
        <v>124</v>
      </c>
      <c r="D52" s="2" t="s">
        <v>243</v>
      </c>
      <c r="E52" s="2" t="s">
        <v>63</v>
      </c>
      <c r="F52" s="2" t="s">
        <v>37</v>
      </c>
      <c r="G52" s="2" t="s">
        <v>64</v>
      </c>
      <c r="H52" s="2" t="s">
        <v>244</v>
      </c>
      <c r="I52" s="2"/>
    </row>
    <row r="53" spans="1:9" ht="28.5">
      <c r="A53" s="2" t="s">
        <v>24</v>
      </c>
      <c r="B53" s="2" t="s">
        <v>245</v>
      </c>
      <c r="C53" s="2" t="s">
        <v>246</v>
      </c>
      <c r="D53" s="2" t="s">
        <v>247</v>
      </c>
      <c r="E53" s="2" t="s">
        <v>63</v>
      </c>
      <c r="F53" s="2" t="s">
        <v>40</v>
      </c>
      <c r="G53" s="2" t="s">
        <v>73</v>
      </c>
      <c r="H53" s="2"/>
      <c r="I53" s="2" t="s">
        <v>248</v>
      </c>
    </row>
    <row r="54" spans="1:9" ht="28.5">
      <c r="A54" s="2" t="s">
        <v>24</v>
      </c>
      <c r="B54" s="2" t="s">
        <v>249</v>
      </c>
      <c r="C54" s="2" t="s">
        <v>250</v>
      </c>
      <c r="D54" s="2" t="s">
        <v>251</v>
      </c>
      <c r="E54" s="2" t="s">
        <v>63</v>
      </c>
      <c r="F54" s="2" t="s">
        <v>40</v>
      </c>
      <c r="G54" s="2" t="s">
        <v>73</v>
      </c>
      <c r="H54" s="2"/>
      <c r="I54" s="2" t="s">
        <v>252</v>
      </c>
    </row>
    <row r="55" spans="1:9" ht="28.5">
      <c r="A55" s="2" t="s">
        <v>24</v>
      </c>
      <c r="B55" s="2" t="s">
        <v>253</v>
      </c>
      <c r="C55" s="2" t="s">
        <v>91</v>
      </c>
      <c r="D55" s="2" t="s">
        <v>254</v>
      </c>
      <c r="E55" s="2" t="s">
        <v>63</v>
      </c>
      <c r="F55" s="2" t="s">
        <v>40</v>
      </c>
      <c r="G55" s="2" t="s">
        <v>73</v>
      </c>
      <c r="H55" s="2"/>
      <c r="I55" s="2" t="s">
        <v>130</v>
      </c>
    </row>
  </sheetData>
  <mergeCells count="2">
    <mergeCell ref="A1:I1"/>
    <mergeCell ref="A2:I2"/>
  </mergeCells>
  <conditionalFormatting sqref="G5:G55">
    <cfRule type="expression" dxfId="3" priority="1">
      <formula>G5="COBERTO"</formula>
    </cfRule>
    <cfRule type="expression" dxfId="2" priority="2">
      <formula>G5="PENDENTE_TESTE"</formula>
    </cfRule>
    <cfRule type="expression" dxfId="1" priority="3">
      <formula>G5="PENDENTE_IMPLEMENTACAO"</formula>
    </cfRule>
    <cfRule type="expression" dxfId="0" priority="4">
      <formula>G5="DECISAO_PENDENTE"</formula>
    </cfRule>
  </conditionalFormatting>
  <dataValidations count="1">
    <dataValidation type="list" sqref="G5:G55" xr:uid="{00000000-0002-0000-0200-000000000000}">
      <formula1>"COBERTO,PENDENTE_TESTE,PENDENTE_IMPLEMENTACAO,DECISAO_PENDENTE,NAO_APLICAVEL"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/>
  </sheetViews>
  <sheetFormatPr defaultRowHeight="14.25"/>
  <cols>
    <col min="1" max="1" width="10" customWidth="1"/>
    <col min="2" max="2" width="44" customWidth="1"/>
    <col min="3" max="3" width="52" customWidth="1"/>
    <col min="4" max="4" width="16" customWidth="1"/>
    <col min="5" max="5" width="18" customWidth="1"/>
    <col min="6" max="6" width="12" customWidth="1"/>
    <col min="7" max="7" width="42" customWidth="1"/>
    <col min="8" max="8" width="38" customWidth="1"/>
  </cols>
  <sheetData>
    <row r="1" spans="1:8" ht="20.25">
      <c r="A1" s="8" t="s">
        <v>255</v>
      </c>
      <c r="B1" s="8"/>
      <c r="C1" s="8"/>
      <c r="D1" s="8"/>
      <c r="E1" s="8"/>
      <c r="F1" s="8"/>
      <c r="G1" s="8"/>
      <c r="H1" s="8"/>
    </row>
    <row r="2" spans="1:8">
      <c r="A2" s="9" t="s">
        <v>256</v>
      </c>
      <c r="B2" s="9"/>
      <c r="C2" s="9"/>
      <c r="D2" s="9"/>
      <c r="E2" s="9"/>
      <c r="F2" s="9"/>
      <c r="G2" s="9"/>
      <c r="H2" s="9"/>
    </row>
    <row r="4" spans="1:8" ht="15">
      <c r="A4" s="1" t="s">
        <v>28</v>
      </c>
      <c r="B4" s="1" t="s">
        <v>257</v>
      </c>
      <c r="C4" s="1" t="s">
        <v>258</v>
      </c>
      <c r="D4" s="1" t="s">
        <v>259</v>
      </c>
      <c r="E4" s="1" t="s">
        <v>260</v>
      </c>
      <c r="F4" s="1" t="s">
        <v>33</v>
      </c>
      <c r="G4" s="1" t="s">
        <v>261</v>
      </c>
      <c r="H4" s="1" t="s">
        <v>262</v>
      </c>
    </row>
    <row r="5" spans="1:8" ht="28.5">
      <c r="A5" s="2" t="s">
        <v>65</v>
      </c>
      <c r="B5" s="2" t="s">
        <v>263</v>
      </c>
      <c r="C5" s="2" t="s">
        <v>264</v>
      </c>
      <c r="D5" s="2" t="s">
        <v>18</v>
      </c>
      <c r="E5" s="2" t="s">
        <v>143</v>
      </c>
      <c r="F5" s="2" t="s">
        <v>265</v>
      </c>
      <c r="G5" s="2" t="s">
        <v>266</v>
      </c>
      <c r="H5" s="2" t="s">
        <v>267</v>
      </c>
    </row>
    <row r="6" spans="1:8" ht="28.5">
      <c r="A6" s="2" t="s">
        <v>69</v>
      </c>
      <c r="B6" s="2" t="s">
        <v>263</v>
      </c>
      <c r="C6" s="2" t="s">
        <v>268</v>
      </c>
      <c r="D6" s="2" t="s">
        <v>269</v>
      </c>
      <c r="E6" s="2" t="s">
        <v>143</v>
      </c>
      <c r="F6" s="2" t="s">
        <v>265</v>
      </c>
      <c r="G6" s="2" t="s">
        <v>270</v>
      </c>
      <c r="H6" s="2" t="s">
        <v>271</v>
      </c>
    </row>
    <row r="7" spans="1:8">
      <c r="A7" s="2" t="s">
        <v>138</v>
      </c>
      <c r="B7" s="2" t="s">
        <v>263</v>
      </c>
      <c r="C7" s="2" t="s">
        <v>272</v>
      </c>
      <c r="D7" s="2" t="s">
        <v>20</v>
      </c>
      <c r="E7" s="2" t="s">
        <v>273</v>
      </c>
      <c r="F7" s="2" t="s">
        <v>265</v>
      </c>
      <c r="G7" s="2" t="s">
        <v>274</v>
      </c>
      <c r="H7" s="2"/>
    </row>
    <row r="8" spans="1:8">
      <c r="A8" s="2" t="s">
        <v>141</v>
      </c>
      <c r="B8" s="2" t="s">
        <v>263</v>
      </c>
      <c r="C8" s="2" t="s">
        <v>275</v>
      </c>
      <c r="D8" s="2" t="s">
        <v>20</v>
      </c>
      <c r="E8" s="2" t="s">
        <v>273</v>
      </c>
      <c r="F8" s="2" t="s">
        <v>265</v>
      </c>
      <c r="G8" s="2" t="s">
        <v>276</v>
      </c>
      <c r="H8" s="2"/>
    </row>
    <row r="9" spans="1:8">
      <c r="A9" s="2" t="s">
        <v>244</v>
      </c>
      <c r="B9" s="2" t="s">
        <v>277</v>
      </c>
      <c r="C9" s="2" t="s">
        <v>278</v>
      </c>
      <c r="D9" s="2" t="s">
        <v>24</v>
      </c>
      <c r="E9" s="2" t="s">
        <v>279</v>
      </c>
      <c r="F9" s="2" t="s">
        <v>265</v>
      </c>
      <c r="G9" s="2" t="s">
        <v>280</v>
      </c>
      <c r="H9" s="2"/>
    </row>
    <row r="10" spans="1:8">
      <c r="A10" s="2" t="s">
        <v>203</v>
      </c>
      <c r="B10" s="2" t="s">
        <v>277</v>
      </c>
      <c r="C10" s="2" t="s">
        <v>281</v>
      </c>
      <c r="D10" s="2" t="s">
        <v>22</v>
      </c>
      <c r="E10" s="2" t="s">
        <v>279</v>
      </c>
      <c r="F10" s="2" t="s">
        <v>265</v>
      </c>
      <c r="G10" s="2" t="s">
        <v>282</v>
      </c>
      <c r="H10" s="2"/>
    </row>
    <row r="11" spans="1:8" ht="28.5">
      <c r="A11" s="2" t="s">
        <v>217</v>
      </c>
      <c r="B11" s="2" t="s">
        <v>277</v>
      </c>
      <c r="C11" s="2" t="s">
        <v>283</v>
      </c>
      <c r="D11" s="2" t="s">
        <v>23</v>
      </c>
      <c r="E11" s="2" t="s">
        <v>279</v>
      </c>
      <c r="F11" s="2" t="s">
        <v>265</v>
      </c>
      <c r="G11" s="2" t="s">
        <v>284</v>
      </c>
      <c r="H11" s="2"/>
    </row>
    <row r="12" spans="1:8" ht="28.5">
      <c r="A12" s="2" t="s">
        <v>126</v>
      </c>
      <c r="B12" s="2" t="s">
        <v>277</v>
      </c>
      <c r="C12" s="2" t="s">
        <v>285</v>
      </c>
      <c r="D12" s="2" t="s">
        <v>286</v>
      </c>
      <c r="E12" s="2" t="s">
        <v>279</v>
      </c>
      <c r="F12" s="2" t="s">
        <v>265</v>
      </c>
      <c r="G12" s="2" t="s">
        <v>287</v>
      </c>
      <c r="H12" s="2"/>
    </row>
    <row r="13" spans="1:8">
      <c r="A13" s="2" t="s">
        <v>236</v>
      </c>
      <c r="B13" s="2" t="s">
        <v>288</v>
      </c>
      <c r="C13" s="2" t="s">
        <v>289</v>
      </c>
      <c r="D13" s="2" t="s">
        <v>24</v>
      </c>
      <c r="E13" s="2" t="s">
        <v>198</v>
      </c>
      <c r="F13" s="2" t="s">
        <v>265</v>
      </c>
      <c r="G13" s="2" t="s">
        <v>290</v>
      </c>
      <c r="H13" s="2"/>
    </row>
    <row r="14" spans="1:8" ht="28.5">
      <c r="A14" s="2" t="s">
        <v>200</v>
      </c>
      <c r="B14" s="2" t="s">
        <v>288</v>
      </c>
      <c r="C14" s="2" t="s">
        <v>291</v>
      </c>
      <c r="D14" s="2" t="s">
        <v>22</v>
      </c>
      <c r="E14" s="2" t="s">
        <v>198</v>
      </c>
      <c r="F14" s="2" t="s">
        <v>265</v>
      </c>
      <c r="G14" s="2" t="s">
        <v>292</v>
      </c>
      <c r="H14" s="2"/>
    </row>
    <row r="15" spans="1:8">
      <c r="A15" s="2" t="s">
        <v>239</v>
      </c>
      <c r="B15" s="2" t="s">
        <v>288</v>
      </c>
      <c r="C15" s="2" t="s">
        <v>293</v>
      </c>
      <c r="D15" s="2" t="s">
        <v>24</v>
      </c>
      <c r="E15" s="2" t="s">
        <v>198</v>
      </c>
      <c r="F15" s="2" t="s">
        <v>265</v>
      </c>
      <c r="G15" s="2" t="s">
        <v>294</v>
      </c>
      <c r="H15" s="2"/>
    </row>
    <row r="16" spans="1:8" ht="28.5">
      <c r="A16" s="2" t="s">
        <v>295</v>
      </c>
      <c r="B16" s="2" t="s">
        <v>296</v>
      </c>
      <c r="C16" s="2" t="s">
        <v>297</v>
      </c>
      <c r="D16" s="2" t="s">
        <v>298</v>
      </c>
      <c r="E16" s="2" t="s">
        <v>299</v>
      </c>
      <c r="F16" s="2" t="s">
        <v>265</v>
      </c>
      <c r="G16" s="2" t="s">
        <v>300</v>
      </c>
      <c r="H16" s="2" t="s">
        <v>301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workbookViewId="0">
      <selection sqref="A1:H1"/>
    </sheetView>
  </sheetViews>
  <sheetFormatPr defaultRowHeight="14.25"/>
  <cols>
    <col min="1" max="1" width="13" customWidth="1"/>
    <col min="2" max="2" width="16.5" customWidth="1"/>
    <col min="3" max="3" width="70.125" customWidth="1"/>
    <col min="4" max="4" width="25.375" customWidth="1"/>
    <col min="5" max="5" width="27.625" customWidth="1"/>
    <col min="6" max="6" width="11.875" customWidth="1"/>
    <col min="7" max="7" width="12.75" customWidth="1"/>
    <col min="8" max="8" width="46" customWidth="1"/>
  </cols>
  <sheetData>
    <row r="1" spans="1:8" ht="20.25">
      <c r="A1" s="8" t="s">
        <v>302</v>
      </c>
      <c r="B1" s="8"/>
      <c r="C1" s="8"/>
      <c r="D1" s="8"/>
      <c r="E1" s="8"/>
      <c r="F1" s="8"/>
      <c r="G1" s="8"/>
      <c r="H1" s="8"/>
    </row>
    <row r="3" spans="1:8" ht="15">
      <c r="A3" s="1" t="s">
        <v>2</v>
      </c>
      <c r="B3" s="1" t="s">
        <v>3</v>
      </c>
      <c r="D3" s="1" t="s">
        <v>303</v>
      </c>
      <c r="E3" s="1" t="s">
        <v>3</v>
      </c>
    </row>
    <row r="4" spans="1:8">
      <c r="A4" t="s">
        <v>304</v>
      </c>
      <c r="B4">
        <f>COUNTIF(Checklist!$A$5:$A$55,"C01")</f>
        <v>10</v>
      </c>
      <c r="D4" t="s">
        <v>305</v>
      </c>
      <c r="E4">
        <f>ROUNDUP(B4*B7,0)</f>
        <v>8</v>
      </c>
    </row>
    <row r="5" spans="1:8">
      <c r="A5" t="s">
        <v>306</v>
      </c>
      <c r="B5">
        <v>8</v>
      </c>
      <c r="D5" t="s">
        <v>307</v>
      </c>
      <c r="E5">
        <f>MAX(0,E4-B5)</f>
        <v>0</v>
      </c>
    </row>
    <row r="6" spans="1:8">
      <c r="A6" t="s">
        <v>308</v>
      </c>
      <c r="B6" s="3">
        <f>IF(B4=0,0,B5/B4)</f>
        <v>0.8</v>
      </c>
      <c r="D6" t="s">
        <v>309</v>
      </c>
      <c r="E6" t="str">
        <f>IF(COUNTIFS(Checklist!$A$5:$A$55,"C01",Checklist!$E$5:$E$55,"IMPLEMENTADO*")&gt;=E4,"SIM","NÃO")</f>
        <v>SIM</v>
      </c>
    </row>
    <row r="7" spans="1:8">
      <c r="A7" t="s">
        <v>14</v>
      </c>
      <c r="B7" s="3">
        <v>0.75</v>
      </c>
      <c r="D7" t="s">
        <v>310</v>
      </c>
      <c r="E7" t="s">
        <v>311</v>
      </c>
    </row>
    <row r="9" spans="1:8" ht="30">
      <c r="A9" s="1" t="s">
        <v>53</v>
      </c>
      <c r="B9" s="1" t="s">
        <v>54</v>
      </c>
      <c r="C9" s="1" t="s">
        <v>55</v>
      </c>
      <c r="D9" s="1" t="s">
        <v>312</v>
      </c>
      <c r="E9" s="1" t="s">
        <v>33</v>
      </c>
      <c r="F9" s="1" t="s">
        <v>57</v>
      </c>
      <c r="G9" s="1" t="s">
        <v>313</v>
      </c>
      <c r="H9" s="1" t="s">
        <v>314</v>
      </c>
    </row>
    <row r="10" spans="1:8">
      <c r="A10" s="2" t="s">
        <v>60</v>
      </c>
      <c r="B10" s="2" t="s">
        <v>61</v>
      </c>
      <c r="C10" s="2" t="s">
        <v>62</v>
      </c>
      <c r="D10" s="2" t="s">
        <v>63</v>
      </c>
      <c r="E10" s="2" t="s">
        <v>64</v>
      </c>
      <c r="F10" s="10" t="s">
        <v>65</v>
      </c>
      <c r="G10" s="10" t="s">
        <v>315</v>
      </c>
      <c r="H10" s="10" t="s">
        <v>66</v>
      </c>
    </row>
    <row r="11" spans="1:8">
      <c r="A11" s="2" t="s">
        <v>67</v>
      </c>
      <c r="B11" s="2" t="s">
        <v>61</v>
      </c>
      <c r="C11" s="2" t="s">
        <v>68</v>
      </c>
      <c r="D11" s="2" t="s">
        <v>63</v>
      </c>
      <c r="E11" s="2" t="s">
        <v>64</v>
      </c>
      <c r="F11" s="10" t="s">
        <v>69</v>
      </c>
      <c r="G11" s="10" t="s">
        <v>315</v>
      </c>
      <c r="H11" s="10" t="s">
        <v>66</v>
      </c>
    </row>
    <row r="12" spans="1:8" ht="28.5" customHeight="1">
      <c r="A12" s="2" t="s">
        <v>70</v>
      </c>
      <c r="B12" s="2" t="s">
        <v>71</v>
      </c>
      <c r="C12" s="2" t="s">
        <v>72</v>
      </c>
      <c r="D12" s="2" t="s">
        <v>63</v>
      </c>
      <c r="E12" s="2" t="s">
        <v>64</v>
      </c>
      <c r="F12" s="10" t="s">
        <v>317</v>
      </c>
      <c r="G12" s="10" t="s">
        <v>315</v>
      </c>
      <c r="H12" s="10" t="s">
        <v>323</v>
      </c>
    </row>
    <row r="13" spans="1:8" ht="28.5">
      <c r="A13" s="2" t="s">
        <v>75</v>
      </c>
      <c r="B13" s="2" t="s">
        <v>76</v>
      </c>
      <c r="C13" s="2" t="s">
        <v>77</v>
      </c>
      <c r="D13" s="2" t="s">
        <v>63</v>
      </c>
      <c r="E13" s="2" t="s">
        <v>64</v>
      </c>
      <c r="F13" s="10" t="s">
        <v>318</v>
      </c>
      <c r="G13" s="10" t="s">
        <v>315</v>
      </c>
      <c r="H13" s="10" t="s">
        <v>324</v>
      </c>
    </row>
    <row r="14" spans="1:8" ht="28.5" customHeight="1">
      <c r="A14" s="2" t="s">
        <v>79</v>
      </c>
      <c r="B14" s="2" t="s">
        <v>80</v>
      </c>
      <c r="C14" s="2" t="s">
        <v>81</v>
      </c>
      <c r="D14" s="2" t="s">
        <v>63</v>
      </c>
      <c r="E14" s="2" t="s">
        <v>64</v>
      </c>
      <c r="F14" s="10" t="s">
        <v>319</v>
      </c>
      <c r="G14" s="10" t="s">
        <v>315</v>
      </c>
      <c r="H14" s="10" t="s">
        <v>325</v>
      </c>
    </row>
    <row r="15" spans="1:8">
      <c r="A15" s="2" t="s">
        <v>83</v>
      </c>
      <c r="B15" s="2" t="s">
        <v>80</v>
      </c>
      <c r="C15" s="2" t="s">
        <v>84</v>
      </c>
      <c r="D15" s="2" t="s">
        <v>63</v>
      </c>
      <c r="E15" s="2" t="s">
        <v>64</v>
      </c>
      <c r="F15" s="10" t="s">
        <v>320</v>
      </c>
      <c r="G15" s="10" t="s">
        <v>315</v>
      </c>
      <c r="H15" s="10" t="s">
        <v>326</v>
      </c>
    </row>
    <row r="16" spans="1:8" ht="28.5" customHeight="1">
      <c r="A16" s="2" t="s">
        <v>86</v>
      </c>
      <c r="B16" s="2" t="s">
        <v>87</v>
      </c>
      <c r="C16" s="2" t="s">
        <v>88</v>
      </c>
      <c r="D16" s="2" t="s">
        <v>63</v>
      </c>
      <c r="E16" s="2" t="s">
        <v>64</v>
      </c>
      <c r="F16" s="10" t="s">
        <v>321</v>
      </c>
      <c r="G16" s="10" t="s">
        <v>315</v>
      </c>
      <c r="H16" s="10" t="s">
        <v>327</v>
      </c>
    </row>
    <row r="17" spans="1:8" ht="28.5">
      <c r="A17" s="2" t="s">
        <v>90</v>
      </c>
      <c r="B17" s="2" t="s">
        <v>91</v>
      </c>
      <c r="C17" s="2" t="s">
        <v>92</v>
      </c>
      <c r="D17" s="2" t="s">
        <v>93</v>
      </c>
      <c r="E17" s="2" t="s">
        <v>73</v>
      </c>
      <c r="F17" s="10" t="s">
        <v>322</v>
      </c>
      <c r="G17" s="10" t="s">
        <v>315</v>
      </c>
      <c r="H17" s="10" t="s">
        <v>328</v>
      </c>
    </row>
    <row r="18" spans="1:8" ht="14.25" customHeight="1">
      <c r="A18" s="2" t="s">
        <v>95</v>
      </c>
      <c r="B18" s="2" t="s">
        <v>96</v>
      </c>
      <c r="C18" s="2" t="s">
        <v>97</v>
      </c>
      <c r="D18" s="2" t="s">
        <v>98</v>
      </c>
      <c r="E18" s="2" t="s">
        <v>99</v>
      </c>
      <c r="F18" s="2"/>
      <c r="G18" s="10" t="s">
        <v>316</v>
      </c>
      <c r="H18" s="10" t="s">
        <v>100</v>
      </c>
    </row>
    <row r="19" spans="1:8" ht="28.5" customHeight="1">
      <c r="A19" s="2" t="s">
        <v>101</v>
      </c>
      <c r="B19" s="2" t="s">
        <v>102</v>
      </c>
      <c r="C19" s="2" t="s">
        <v>103</v>
      </c>
      <c r="D19" s="2" t="s">
        <v>98</v>
      </c>
      <c r="E19" s="2" t="s">
        <v>99</v>
      </c>
      <c r="F19" s="2"/>
      <c r="G19" s="10" t="s">
        <v>316</v>
      </c>
      <c r="H19" s="10" t="s">
        <v>104</v>
      </c>
    </row>
  </sheetData>
  <mergeCells count="1">
    <mergeCell ref="A1:H1"/>
  </mergeCells>
  <dataValidations count="1">
    <dataValidation type="list" sqref="E10:E19" xr:uid="{00000000-0002-0000-0400-000000000000}">
      <formula1>"COBERTO,PENDENTE_TESTE,PENDENTE_IMPLEMENTACAO,DECISAO_PENDENTE,NAO_APLICAVEL"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7681-E5B3-4F5B-8061-386F5E8C1214}">
  <dimension ref="A1:H17"/>
  <sheetViews>
    <sheetView tabSelected="1" zoomScaleNormal="100" workbookViewId="0">
      <selection activeCell="D9" sqref="D9:D17"/>
    </sheetView>
  </sheetViews>
  <sheetFormatPr defaultRowHeight="14.25"/>
  <cols>
    <col min="1" max="1" width="13.125" customWidth="1"/>
    <col min="2" max="2" width="19.25" customWidth="1"/>
    <col min="3" max="3" width="74.75" customWidth="1"/>
    <col min="4" max="4" width="37.875" customWidth="1"/>
    <col min="5" max="5" width="10.625" customWidth="1"/>
    <col min="6" max="6" width="11.375" customWidth="1"/>
    <col min="7" max="7" width="14" customWidth="1"/>
    <col min="8" max="8" width="92.625" customWidth="1"/>
  </cols>
  <sheetData>
    <row r="1" spans="1:8" ht="20.25">
      <c r="A1" s="8" t="s">
        <v>347</v>
      </c>
      <c r="B1" s="8"/>
      <c r="C1" s="8"/>
      <c r="D1" s="8"/>
      <c r="E1" s="8"/>
      <c r="F1" s="8"/>
      <c r="G1" s="8"/>
      <c r="H1" s="8"/>
    </row>
    <row r="3" spans="1:8" ht="30">
      <c r="A3" s="1" t="s">
        <v>2</v>
      </c>
      <c r="B3" s="1" t="s">
        <v>3</v>
      </c>
      <c r="D3" s="1" t="s">
        <v>303</v>
      </c>
      <c r="E3" s="1" t="s">
        <v>3</v>
      </c>
    </row>
    <row r="4" spans="1:8">
      <c r="A4" t="s">
        <v>346</v>
      </c>
      <c r="B4">
        <v>8</v>
      </c>
      <c r="D4" t="s">
        <v>305</v>
      </c>
      <c r="E4">
        <f>ROUNDUP(B4*B7,0)</f>
        <v>6</v>
      </c>
    </row>
    <row r="5" spans="1:8">
      <c r="A5" t="s">
        <v>306</v>
      </c>
      <c r="B5">
        <v>8</v>
      </c>
      <c r="D5" t="s">
        <v>307</v>
      </c>
      <c r="E5">
        <f>MAX(0,E4-B5)</f>
        <v>0</v>
      </c>
    </row>
    <row r="6" spans="1:8">
      <c r="A6" t="s">
        <v>308</v>
      </c>
      <c r="B6" s="3">
        <f>IF(B4=0,0,B5/B4)</f>
        <v>1</v>
      </c>
      <c r="D6" t="s">
        <v>309</v>
      </c>
      <c r="E6" s="11" t="str">
        <f>IF(COUNTIFS(Checklist!$A$5:$A$55,"C01",Checklist!$E$5:$E$55,"IMPLEMENTADO*")&gt;=E4,"SIM","NÃO")</f>
        <v>SIM</v>
      </c>
    </row>
    <row r="7" spans="1:8">
      <c r="A7" t="s">
        <v>14</v>
      </c>
      <c r="B7" s="3">
        <v>0.75</v>
      </c>
      <c r="D7" s="12" t="s">
        <v>345</v>
      </c>
      <c r="E7" s="12"/>
    </row>
    <row r="9" spans="1:8" ht="23.25" customHeight="1">
      <c r="A9" s="10" t="s">
        <v>53</v>
      </c>
      <c r="B9" s="10" t="s">
        <v>54</v>
      </c>
      <c r="C9" s="10" t="s">
        <v>55</v>
      </c>
      <c r="D9" s="10" t="s">
        <v>312</v>
      </c>
      <c r="E9" s="10" t="s">
        <v>33</v>
      </c>
      <c r="F9" s="10" t="s">
        <v>57</v>
      </c>
      <c r="G9" s="10" t="s">
        <v>329</v>
      </c>
      <c r="H9" s="10" t="s">
        <v>314</v>
      </c>
    </row>
    <row r="10" spans="1:8" ht="33.75" customHeight="1">
      <c r="A10" s="10" t="s">
        <v>105</v>
      </c>
      <c r="B10" s="10" t="s">
        <v>106</v>
      </c>
      <c r="C10" s="10" t="s">
        <v>107</v>
      </c>
      <c r="D10" s="10" t="s">
        <v>63</v>
      </c>
      <c r="E10" s="10" t="s">
        <v>64</v>
      </c>
      <c r="F10" s="10" t="s">
        <v>330</v>
      </c>
      <c r="G10" s="10" t="s">
        <v>315</v>
      </c>
      <c r="H10" s="10" t="s">
        <v>331</v>
      </c>
    </row>
    <row r="11" spans="1:8" ht="30" customHeight="1">
      <c r="A11" s="10" t="s">
        <v>109</v>
      </c>
      <c r="B11" s="10" t="s">
        <v>110</v>
      </c>
      <c r="C11" s="10" t="s">
        <v>111</v>
      </c>
      <c r="D11" s="10" t="s">
        <v>63</v>
      </c>
      <c r="E11" s="10" t="s">
        <v>64</v>
      </c>
      <c r="F11" s="10" t="s">
        <v>332</v>
      </c>
      <c r="G11" s="10" t="s">
        <v>315</v>
      </c>
      <c r="H11" s="10" t="s">
        <v>333</v>
      </c>
    </row>
    <row r="12" spans="1:8" ht="29.25" customHeight="1">
      <c r="A12" s="10" t="s">
        <v>113</v>
      </c>
      <c r="B12" s="10" t="s">
        <v>114</v>
      </c>
      <c r="C12" s="10" t="s">
        <v>115</v>
      </c>
      <c r="D12" s="10" t="s">
        <v>63</v>
      </c>
      <c r="E12" s="10" t="s">
        <v>64</v>
      </c>
      <c r="F12" s="10" t="s">
        <v>334</v>
      </c>
      <c r="G12" s="10" t="s">
        <v>315</v>
      </c>
      <c r="H12" s="10" t="s">
        <v>335</v>
      </c>
    </row>
    <row r="13" spans="1:8" ht="27.75" customHeight="1">
      <c r="A13" s="10" t="s">
        <v>117</v>
      </c>
      <c r="B13" s="10" t="s">
        <v>118</v>
      </c>
      <c r="C13" s="10" t="s">
        <v>119</v>
      </c>
      <c r="D13" s="10" t="s">
        <v>63</v>
      </c>
      <c r="E13" s="10" t="s">
        <v>64</v>
      </c>
      <c r="F13" s="10" t="s">
        <v>336</v>
      </c>
      <c r="G13" s="10" t="s">
        <v>315</v>
      </c>
      <c r="H13" s="10" t="s">
        <v>337</v>
      </c>
    </row>
    <row r="14" spans="1:8" ht="24.75" customHeight="1">
      <c r="A14" s="10" t="s">
        <v>121</v>
      </c>
      <c r="B14" s="10" t="s">
        <v>118</v>
      </c>
      <c r="C14" s="10" t="s">
        <v>122</v>
      </c>
      <c r="D14" s="10" t="s">
        <v>63</v>
      </c>
      <c r="E14" s="10" t="s">
        <v>64</v>
      </c>
      <c r="F14" s="10" t="s">
        <v>338</v>
      </c>
      <c r="G14" s="10" t="s">
        <v>315</v>
      </c>
      <c r="H14" s="10" t="s">
        <v>339</v>
      </c>
    </row>
    <row r="15" spans="1:8" ht="17.25" customHeight="1">
      <c r="A15" s="10" t="s">
        <v>123</v>
      </c>
      <c r="B15" s="10" t="s">
        <v>124</v>
      </c>
      <c r="C15" s="10" t="s">
        <v>125</v>
      </c>
      <c r="D15" s="10" t="s">
        <v>63</v>
      </c>
      <c r="E15" s="10" t="s">
        <v>64</v>
      </c>
      <c r="F15" s="10" t="s">
        <v>126</v>
      </c>
      <c r="G15" s="10" t="s">
        <v>315</v>
      </c>
      <c r="H15" s="10" t="s">
        <v>340</v>
      </c>
    </row>
    <row r="16" spans="1:8" ht="19.5" customHeight="1">
      <c r="A16" s="10" t="s">
        <v>128</v>
      </c>
      <c r="B16" s="10" t="s">
        <v>91</v>
      </c>
      <c r="C16" s="10" t="s">
        <v>129</v>
      </c>
      <c r="D16" s="10" t="s">
        <v>63</v>
      </c>
      <c r="E16" s="10" t="s">
        <v>64</v>
      </c>
      <c r="F16" s="10" t="s">
        <v>341</v>
      </c>
      <c r="G16" s="10" t="s">
        <v>315</v>
      </c>
      <c r="H16" s="10" t="s">
        <v>342</v>
      </c>
    </row>
    <row r="17" spans="1:8" ht="15.75" customHeight="1">
      <c r="A17" s="10" t="s">
        <v>131</v>
      </c>
      <c r="B17" s="10" t="s">
        <v>132</v>
      </c>
      <c r="C17" s="10" t="s">
        <v>133</v>
      </c>
      <c r="D17" s="10" t="s">
        <v>63</v>
      </c>
      <c r="E17" s="10" t="s">
        <v>64</v>
      </c>
      <c r="F17" s="10" t="s">
        <v>343</v>
      </c>
      <c r="G17" s="10" t="s">
        <v>315</v>
      </c>
      <c r="H17" s="10" t="s">
        <v>344</v>
      </c>
    </row>
  </sheetData>
  <mergeCells count="2">
    <mergeCell ref="A1:H1"/>
    <mergeCell ref="D7:E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Dashboard</vt:lpstr>
      <vt:lpstr>Cenarios</vt:lpstr>
      <vt:lpstr>Checklist</vt:lpstr>
      <vt:lpstr>Testes Atuais</vt:lpstr>
      <vt:lpstr>C1 - Meta 75</vt:lpstr>
      <vt:lpstr>C2 - Meta 75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</dc:creator>
  <cp:lastModifiedBy>Gabriel</cp:lastModifiedBy>
  <dcterms:created xsi:type="dcterms:W3CDTF">2026-08-20T18:47:31Z</dcterms:created>
  <dcterms:modified xsi:type="dcterms:W3CDTF">2026-08-20T18:48:53Z</dcterms:modified>
</cp:coreProperties>
</file>