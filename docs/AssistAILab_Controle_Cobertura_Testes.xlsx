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fe6e0d677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0c5f16495f47f0"/>
    <x:sheet xmlns:r="http://schemas.openxmlformats.org/officeDocument/2006/relationships" name="Cenarios" sheetId="2" r:id="R800aacf691f64ca6"/>
    <x:sheet xmlns:r="http://schemas.openxmlformats.org/officeDocument/2006/relationships" name="Checklist" sheetId="3" r:id="R77ce9f85be99437c"/>
    <x:sheet xmlns:r="http://schemas.openxmlformats.org/officeDocument/2006/relationships" name="Testes Atuais" sheetId="4" r:id="R857ee6d313ff4112"/>
    <x:sheet xmlns:r="http://schemas.openxmlformats.org/officeDocument/2006/relationships" name="C1 - Meta 75" sheetId="5" r:id="R397ded0c97994266"/>
    <x:sheet xmlns:r="http://schemas.openxmlformats.org/officeDocument/2006/relationships" name="C2 - Meta 75" sheetId="6" r:id="R0e9a2b3a89a04a7d"/>
    <x:sheet xmlns:r="http://schemas.openxmlformats.org/officeDocument/2006/relationships" name="C3 - Meta 75" sheetId="7" r:id="R07416841cd7748d0"/>
    <x:sheet xmlns:r="http://schemas.openxmlformats.org/officeDocument/2006/relationships" name="C4 - Meta 75" sheetId="8" r:id="Rb9aceed02d694ffc"/>
    <x:sheet xmlns:r="http://schemas.openxmlformats.org/officeDocument/2006/relationships" name="C5 - Meta 75" sheetId="9" r:id="Rc6b2a919129d4b0f"/>
    <x:sheet xmlns:r="http://schemas.openxmlformats.org/officeDocument/2006/relationships" name="C6 - Meta 75" sheetId="10" r:id="R79aa0eefc4794f50"/>
    <x:sheet xmlns:r="http://schemas.openxmlformats.org/officeDocument/2006/relationships" name="C7 - Meta 75" sheetId="11" r:id="Rbe548e9bdee3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404040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54823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843C0C"/>
      </x:font>
      <x:fill>
        <x:patternFill>
          <x:bgColor rgb="FFFCE4D6"/>
        </x:patternFill>
      </x:fill>
    </x:dxf>
    <x:dxf>
      <x:font>
        <x:color rgb="FF5F497A"/>
      </x:font>
      <x:fill>
        <x:patternFill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959edf84d47c8" /><Relationship Type="http://schemas.openxmlformats.org/officeDocument/2006/relationships/theme" Target="/xl/theme/theme1.xml" Id="R6d4ac035b7214a33" /><Relationship Type="http://schemas.openxmlformats.org/officeDocument/2006/relationships/sharedStrings" Target="/xl/sharedStrings.xml" Id="Rb720b79e63f145fa" /><Relationship Type="http://schemas.openxmlformats.org/officeDocument/2006/relationships/worksheet" Target="/xl/worksheets/sheet1.xml" Id="R1a0c5f16495f47f0" /><Relationship Type="http://schemas.openxmlformats.org/officeDocument/2006/relationships/worksheet" Target="/xl/worksheets/sheet2.xml" Id="R800aacf691f64ca6" /><Relationship Type="http://schemas.openxmlformats.org/officeDocument/2006/relationships/worksheet" Target="/xl/worksheets/sheet3.xml" Id="R77ce9f85be99437c" /><Relationship Type="http://schemas.openxmlformats.org/officeDocument/2006/relationships/worksheet" Target="/xl/worksheets/sheet4.xml" Id="R857ee6d313ff4112" /><Relationship Type="http://schemas.openxmlformats.org/officeDocument/2006/relationships/worksheet" Target="/xl/worksheets/sheet5.xml" Id="R397ded0c97994266" /><Relationship Type="http://schemas.openxmlformats.org/officeDocument/2006/relationships/worksheet" Target="/xl/worksheets/sheet6.xml" Id="R0e9a2b3a89a04a7d" /><Relationship Type="http://schemas.openxmlformats.org/officeDocument/2006/relationships/worksheet" Target="/xl/worksheets/sheet7.xml" Id="R07416841cd7748d0" /><Relationship Type="http://schemas.openxmlformats.org/officeDocument/2006/relationships/worksheet" Target="/xl/worksheets/sheet8.xml" Id="Rb9aceed02d694ffc" /><Relationship Type="http://schemas.openxmlformats.org/officeDocument/2006/relationships/worksheet" Target="/xl/worksheets/sheet9.xml" Id="Rc6b2a919129d4b0f" /><Relationship Type="http://schemas.openxmlformats.org/officeDocument/2006/relationships/worksheet" Target="/xl/worksheets/sheet10.xml" Id="R79aa0eefc4794f50" /><Relationship Type="http://schemas.openxmlformats.org/officeDocument/2006/relationships/worksheet" Target="/xl/worksheets/sheet11.xml" Id="Rbe548e9bdee34c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85ea571d0f47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atual por cenário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Cobertura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85ea571d0f47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cenariosTable" displayName="ScenariosTable" ref="A4:J11" headerRowCount="1" totalsRowCount="0" totalsRowShown="0">
  <x:tableColumns count="10">
    <x:tableColumn id="1" name="ID"/>
    <x:tableColumn id="2" name="Cenário mestre"/>
    <x:tableColumn id="3" name="Resumo"/>
    <x:tableColumn id="4" name="Itens"/>
    <x:tableColumn id="5" name="Cobertos"/>
    <x:tableColumn id="6" name="Cobertura"/>
    <x:tableColumn id="7" name="Meta"/>
    <x:tableColumn id="8" name="Gap"/>
    <x:tableColumn id="9" name="Status"/>
    <x:tableColumn id="10" name="Foco a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ChecklistTable" displayName="CoverageChecklistTable" ref="A4:I55" headerRowCount="1" totalsRowCount="0" totalsRowShown="0">
  <x:tableColumns count="9">
    <x:tableColumn id="1" name="Cenário"/>
    <x:tableColumn id="2" name="Item"/>
    <x:tableColumn id="3" name="Área"/>
    <x:tableColumn id="4" name="Regra / resultado esperado"/>
    <x:tableColumn id="5" name="Implementação atual"/>
    <x:tableColumn id="6" name="Teste atual"/>
    <x:tableColumn id="7" name="Status"/>
    <x:tableColumn id="8" name="Teste(s) relacionado(s)"/>
    <x:tableColumn id="9" name="Observações / próximo pas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CurrentTestsTable" displayName="CurrentTestsTable" ref="A4:H29" headerRowCount="1" totalsRowCount="0" totalsRowShown="0">
  <x:tableColumns count="8">
    <x:tableColumn id="1" name="ID"/>
    <x:tableColumn id="2" name="Suíte"/>
    <x:tableColumn id="3" name="Teste automatizado"/>
    <x:tableColumn id="4" name="Cenário(s)"/>
    <x:tableColumn id="5" name="Tipo"/>
    <x:tableColumn id="6" name="Status"/>
    <x:tableColumn id="7" name="Cobertura principal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1CoverageTable" displayName="C1CoverageTable" ref="A9:H19" headerRowCount="1" totalsRowCount="0" totalsRowShown="0">
  <x:tableColumns count="8">
    <x:tableColumn id="1" name="Item"/>
    <x:tableColumn id="2" name="Área"/>
    <x:tableColumn id="3" name="Regra / resultado esperado"/>
    <x:tableColumn id="4" name="Implementação"/>
    <x:tableColumn id="5" name="Status"/>
    <x:tableColumn id="6" name="Teste atual"/>
    <x:tableColumn id="7" name="Prioridade C1"/>
    <x:tableColumn id="8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90c915853849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77f0f8ae3045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2e96bd42444f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f93586d9cb42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3422887c274e8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26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AssistAILab — Painel de Cobertura de Testes</x:v>
      </x:c>
      <x:c r="B1" s="40"/>
      <x:c r="C1" s="40"/>
      <x:c r="D1" s="40"/>
      <x:c r="E1" s="40"/>
      <x:c r="F1" s="40"/>
      <x:c r="G1" s="40"/>
      <x:c r="H1" s="40"/>
    </x:row>
    <x:row r="2">
      <x:c r="A2" s="41" t="str">
        <x:v>Controle mestre dos cenários C1–C7. Atualize o Checklist conforme os testes forem sendo implementados e validados.</x:v>
      </x:c>
      <x:c r="B2" s="41"/>
      <x:c r="C2" s="41"/>
      <x:c r="D2" s="41"/>
      <x:c r="E2" s="41"/>
      <x:c r="F2" s="41"/>
      <x:c r="G2" s="41"/>
      <x:c r="H2" s="41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0" t="str">
        <x:v>Indicador</x:v>
      </x:c>
      <x:c r="B4" s="20" t="str">
        <x:v>Valor</x:v>
      </x:c>
      <x:c r="C4" s="26"/>
      <x:c r="D4" s="20" t="str">
        <x:v>C1 — Progresso</x:v>
      </x:c>
      <x:c r="E4" s="20" t="str">
        <x:v>Valor</x:v>
      </x:c>
      <x:c r="F4" s="26"/>
      <x:c r="G4" s="26"/>
      <x:c r="H4" s="26"/>
    </x:row>
    <x:row r="5">
      <x:c r="A5" s="26" t="str">
        <x:v>Testes automatizados atuais</x:v>
      </x:c>
      <x:c r="B5" s="26" t="n">
        <x:v>48</x:v>
      </x:c>
      <x:c r="C5" s="26"/>
      <x:c r="D5" s="26" t="str">
        <x:v>Itens C1</x:v>
      </x:c>
      <x:c r="E5" s="26" t="n">
        <x:f>'C1 - Meta 75'!B4</x:f>
        <x:v>10</x:v>
      </x:c>
      <x:c r="F5" s="26"/>
      <x:c r="G5" s="26"/>
      <x:c r="H5" s="26"/>
    </x:row>
    <x:row r="6">
      <x:c r="A6" s="26" t="str">
        <x:v>Suítes atuais</x:v>
      </x:c>
      <x:c r="B6" s="26" t="n">
        <x:v>11</x:v>
      </x:c>
      <x:c r="C6" s="26"/>
      <x:c r="D6" s="26" t="str">
        <x:v>Cobertos C1</x:v>
      </x:c>
      <x:c r="E6" s="26" t="n">
        <x:f>'C1 - Meta 75'!B5</x:f>
        <x:v>8</x:v>
      </x:c>
      <x:c r="F6" s="26"/>
      <x:c r="G6" s="26"/>
      <x:c r="H6" s="26"/>
    </x:row>
    <x:row r="7">
      <x:c r="A7" s="26" t="str">
        <x:v>Última execução</x:v>
      </x:c>
      <x:c r="B7" s="26" t="str">
        <x:v>21/08/2026</x:v>
      </x:c>
      <x:c r="C7" s="26"/>
      <x:c r="D7" s="26" t="str">
        <x:v>Cobertura C1</x:v>
      </x:c>
      <x:c r="E7" s="38" t="n">
        <x:f>'C1 - Meta 75'!B6</x:f>
        <x:v>0.8</x:v>
      </x:c>
      <x:c r="F7" s="26"/>
      <x:c r="G7" s="26"/>
      <x:c r="H7" s="26"/>
    </x:row>
    <x:row r="8">
      <x:c r="A8" s="26" t="str">
        <x:v>Resultado baseline</x:v>
      </x:c>
      <x:c r="B8" s="26" t="str">
        <x:v>48 PASS / 0 FAIL</x:v>
      </x:c>
      <x:c r="C8" s="26"/>
      <x:c r="D8" s="26" t="str">
        <x:v>Meta</x:v>
      </x:c>
      <x:c r="E8" s="38" t="n">
        <x:f>'C1 - Meta 75'!B7</x:f>
        <x:v>0.75</x:v>
      </x:c>
      <x:c r="F8" s="26"/>
      <x:c r="G8" s="26"/>
      <x:c r="H8" s="26"/>
    </x:row>
    <x:row r="9">
      <x:c r="A9" s="26"/>
      <x:c r="B9" s="26"/>
      <x:c r="C9" s="26"/>
      <x:c r="D9" s="26" t="str">
        <x:v>Gap</x:v>
      </x:c>
      <x:c r="E9" s="38" t="n">
        <x:f>MAX(0,E8-E7)</x:f>
        <x:v>0</x:v>
      </x:c>
      <x:c r="F9" s="26"/>
      <x:c r="G9" s="26"/>
      <x:c r="H9" s="26"/>
    </x:row>
    <x:row r="10">
      <x:c r="A10" s="26"/>
      <x:c r="B10" s="26"/>
      <x:c r="C10" s="26"/>
      <x:c r="D10" s="26"/>
      <x:c r="E10" s="26"/>
      <x:c r="F10" s="26"/>
      <x:c r="G10" s="26"/>
      <x:c r="H10" s="26"/>
    </x:row>
    <x:row r="11">
      <x:c r="A11" s="20" t="str">
        <x:v>Cenário</x:v>
      </x:c>
      <x:c r="B11" s="20" t="str">
        <x:v>Cobertura</x:v>
      </x:c>
      <x:c r="C11" s="20" t="str">
        <x:v>Meta</x:v>
      </x:c>
      <x:c r="D11" s="26"/>
      <x:c r="E11" s="26"/>
      <x:c r="F11" s="26"/>
      <x:c r="G11" s="26"/>
      <x:c r="H11" s="26"/>
    </x:row>
    <x:row r="12">
      <x:c r="A12" s="26" t="str">
        <x:v>C01</x:v>
      </x:c>
      <x:c r="B12" s="38" t="n">
        <x:f>Cenarios!F5</x:f>
        <x:v>0.8</x:v>
      </x:c>
      <x:c r="C12" s="38" t="n">
        <x:v>0.75</x:v>
      </x:c>
      <x:c r="D12" s="26"/>
      <x:c r="E12" s="26"/>
      <x:c r="F12" s="26"/>
      <x:c r="G12" s="26"/>
      <x:c r="H12" s="26"/>
    </x:row>
    <x:row r="13">
      <x:c r="A13" s="26" t="str">
        <x:v>C02</x:v>
      </x:c>
      <x:c r="B13" s="38" t="n">
        <x:f>Cenarios!F6</x:f>
        <x:v>1</x:v>
      </x:c>
      <x:c r="C13" s="38" t="n">
        <x:v>0.75</x:v>
      </x:c>
      <x:c r="D13" s="26"/>
      <x:c r="E13" s="26"/>
      <x:c r="F13" s="26"/>
      <x:c r="G13" s="26"/>
      <x:c r="H13" s="26"/>
    </x:row>
    <x:row r="14">
      <x:c r="A14" s="26" t="str">
        <x:v>C03</x:v>
      </x:c>
      <x:c r="B14" s="38" t="n">
        <x:v>1</x:v>
      </x:c>
      <x:c r="C14" s="38" t="n">
        <x:v>0.75</x:v>
      </x:c>
      <x:c r="D14" s="26"/>
      <x:c r="E14" s="26"/>
      <x:c r="F14" s="26"/>
      <x:c r="G14" s="26"/>
      <x:c r="H14" s="26"/>
    </x:row>
    <x:row r="15">
      <x:c r="A15" s="26" t="str">
        <x:v>C04</x:v>
      </x:c>
      <x:c r="B15" s="38" t="n">
        <x:v>1</x:v>
      </x:c>
      <x:c r="C15" s="38" t="n">
        <x:v>0.75</x:v>
      </x:c>
      <x:c r="D15" s="26"/>
      <x:c r="E15" s="26"/>
      <x:c r="F15" s="26"/>
      <x:c r="G15" s="26"/>
      <x:c r="H15" s="26"/>
    </x:row>
    <x:row r="16">
      <x:c r="A16" s="26" t="str">
        <x:v>C05</x:v>
      </x:c>
      <x:c r="B16" s="38" t="n">
        <x:v>1</x:v>
      </x:c>
      <x:c r="C16" s="38" t="n">
        <x:v>0.75</x:v>
      </x:c>
      <x:c r="D16" s="26"/>
      <x:c r="E16" s="26"/>
      <x:c r="F16" s="26"/>
      <x:c r="G16" s="26"/>
      <x:c r="H16" s="26"/>
    </x:row>
    <x:row r="17">
      <x:c r="A17" s="26" t="str">
        <x:v>C06</x:v>
      </x:c>
      <x:c r="B17" s="38" t="n">
        <x:v>1</x:v>
      </x:c>
      <x:c r="C17" s="38" t="n">
        <x:v>0.75</x:v>
      </x:c>
      <x:c r="D17" s="26"/>
      <x:c r="E17" s="26"/>
      <x:c r="F17" s="26"/>
      <x:c r="G17" s="26"/>
      <x:c r="H17" s="26"/>
    </x:row>
    <x:row r="18">
      <x:c r="A18" s="26" t="str">
        <x:v>C07</x:v>
      </x:c>
      <x:c r="B18" s="38" t="n">
        <x:v>1</x:v>
      </x:c>
      <x:c r="C18" s="38" t="n">
        <x:v>0.75</x:v>
      </x:c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31" t="str">
        <x:v>Cobertura dos cenários C1–C7 concluída no backend. Baseline: 48 testes / 11 suítes / 48 PASS / 0 FAIL. Próximo foco planejado: frontend Flutter baseado nos contratos consolidados do backend, incluindo fluxos de OS, autenticação e impressão.</x:v>
      </x:c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3">
      <x:c r="A23" s="31"/>
      <x:c r="B23" s="31"/>
      <x:c r="C23" s="31"/>
      <x:c r="D23" s="31"/>
      <x:c r="E23" s="31"/>
      <x:c r="F23" s="31"/>
      <x:c r="G23" s="31"/>
      <x:c r="H23" s="31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</x:sheetData>
  <x:mergeCells>
    <x:mergeCell ref="A1:H1"/>
    <x:mergeCell ref="A2:H2"/>
    <x:mergeCell ref="A21:H23"/>
  </x:mergeCells>
  <x:pageMargins left="0.7" right="0.7" top="0.75" bottom="0.75" header="0.3" footer="0.3"/>
  <x:drawing xmlns:r="http://schemas.openxmlformats.org/officeDocument/2006/relationships" r:id="R2d90c915853849e8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</x:cols>
  <x:sheetData>
    <x:row r="1">
      <x:c r="A1" s="5" t="str">
        <x:v>AssistAILab — Matriz de Cenários de Regressão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31" t="str">
        <x:v>Cobertura = itens COBERTOS / total de itens do cenário. Meta padrão = 75%. Pendências de implementação/decisão continuam no denominador para mostrar a lacuna real.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20" t="str">
        <x:v>ID</x:v>
      </x:c>
      <x:c r="B4" s="20" t="str">
        <x:v>Cenário mestre</x:v>
      </x:c>
      <x:c r="C4" s="20" t="str">
        <x:v>Resumo</x:v>
      </x:c>
      <x:c r="D4" s="20" t="str">
        <x:v>Itens</x:v>
      </x:c>
      <x:c r="E4" s="20" t="str">
        <x:v>Cobertos</x:v>
      </x:c>
      <x:c r="F4" s="20" t="str">
        <x:v>Cobertura</x:v>
      </x:c>
      <x:c r="G4" s="20" t="str">
        <x:v>Meta</x:v>
      </x:c>
      <x:c r="H4" s="20" t="str">
        <x:v>Gap</x:v>
      </x:c>
      <x:c r="I4" s="20" t="str">
        <x:v>Status</x:v>
      </x:c>
      <x:c r="J4" s="20" t="str">
        <x:v>Foco atual</x:v>
      </x:c>
    </x:row>
    <x:row r="5">
      <x:c r="A5" s="26" t="str">
        <x:v>C01</x:v>
      </x:c>
      <x:c r="B5" s="26" t="str">
        <x:v>Organização adquire licença e acessa o sistema</x:v>
      </x:c>
      <x:c r="C5" s="26" t="str">
        <x:v>Organization + Membership + login + isolamento; licença/frontend ainda pendentes.</x:v>
      </x:c>
      <x:c r="D5" s="26" t="n">
        <x:f>COUNTIF(Checklist!$A$5:$A$55,A5)</x:f>
        <x:v>10</x:v>
      </x:c>
      <x:c r="E5" s="26" t="n">
        <x:f>COUNTIFS(Checklist!$A$5:$A$55,A5,Checklist!$G$5:$G$55,"COBERTO")</x:f>
        <x:v>8</x:v>
      </x:c>
      <x:c r="F5" s="38" t="n">
        <x:f>IF(D5=0,0,E5/D5)</x:f>
        <x:v>0.8</x:v>
      </x:c>
      <x:c r="G5" s="38" t="n">
        <x:v>0.75</x:v>
      </x:c>
      <x:c r="H5" s="38" t="n">
        <x:f>MAX(0,G5-F5)</x:f>
        <x:v>0</x:v>
      </x:c>
      <x:c r="I5" s="26" t="str">
        <x:f>IF(F5&gt;=G5,"META ATINGIDA",IF(F5&gt;0,"EM PROGRESSO","NÃO INICIADO"))</x:f>
        <x:v>META ATINGIDA</x:v>
      </x:c>
      <x:c r="J5" s="26" t="str">
        <x:v>NÃO</x:v>
      </x:c>
    </x:row>
    <x:row r="6">
      <x:c r="A6" s="26" t="str">
        <x:v>C02</x:v>
      </x:c>
      <x:c r="B6" s="26" t="str">
        <x:v>Cliente abre OS para Notebook e Celular</x:v>
      </x:c>
      <x:c r="C6" s="26" t="str">
        <x:v>CustomerOrganization + Equipment correto + OS + acesso ao Equipment somente via OS.</x:v>
      </x:c>
      <x:c r="D6" s="26" t="n">
        <x:f>COUNTIF(Checklist!$A$5:$A$55,A6)</x:f>
        <x:v>8</x:v>
      </x:c>
      <x:c r="E6" s="26" t="n">
        <x:f>COUNTIFS(Checklist!$A$5:$A$55,A6,Checklist!$G$5:$G$55,"COBERTO")</x:f>
        <x:v>8</x:v>
      </x:c>
      <x:c r="F6" s="38" t="n">
        <x:f>IF(D6=0,0,E6/D6)</x:f>
        <x:v>1</x:v>
      </x:c>
      <x:c r="G6" s="38" t="n">
        <x:v>0.75</x:v>
      </x:c>
      <x:c r="H6" s="38" t="n">
        <x:f>MAX(0,G6-F6)</x:f>
        <x:v>0</x:v>
      </x:c>
      <x:c r="I6" s="26" t="str">
        <x:f>IF(F6&gt;=G6,"META ATINGIDA",IF(F6&gt;0,"EM PROGRESSO","NÃO INICIADO"))</x:f>
        <x:v>META ATINGIDA</x:v>
      </x:c>
      <x:c r="J6" s="26" t="str">
        <x:v>NÃO</x:v>
      </x:c>
    </x:row>
    <x:row r="7">
      <x:c r="A7" s="26" t="str">
        <x:v>C03</x:v>
      </x:c>
      <x:c r="B7" s="26" t="str">
        <x:v>Cliente cadastra/loga e consulta suas OS</x:v>
      </x:c>
      <x:c r="C7" s="26" t="str">
        <x:v>Cadastro seguro + onboarding/login + acesso às próprias OS.</x:v>
      </x:c>
      <x:c r="D7" s="26" t="n">
        <x:f>COUNTIF(Checklist!$A$5:$A$55,A7)</x:f>
        <x:v>7</x:v>
      </x:c>
      <x:c r="E7" s="26" t="n">
        <x:v>7</x:v>
      </x:c>
      <x:c r="F7" s="38" t="n">
        <x:v>1</x:v>
      </x:c>
      <x:c r="G7" s="38" t="n">
        <x:v>0.75</x:v>
      </x:c>
      <x:c r="H7" s="38" t="n">
        <x:v>0</x:v>
      </x:c>
      <x:c r="I7" s="26" t="str">
        <x:v>META ATINGIDA</x:v>
      </x:c>
      <x:c r="J7" s="26" t="str">
        <x:v>NÃO</x:v>
      </x:c>
    </x:row>
    <x:row r="8">
      <x:c r="A8" s="26" t="str">
        <x:v>C04</x:v>
      </x:c>
      <x:c r="B8" s="26" t="str">
        <x:v>Aquisição de Equipment para revenda/peças</x:v>
      </x:c>
      <x:c r="C8" s="26" t="str">
        <x:v>Aquisição autorizada com consentimento, RESALE/PARTS_DONOR, transferência de ownership e isolamento.</x:v>
      </x:c>
      <x:c r="D8" s="26" t="n">
        <x:f>COUNTIF(Checklist!$A$5:$A$55,A8)</x:f>
        <x:v>8</x:v>
      </x:c>
      <x:c r="E8" s="26" t="n">
        <x:v>8</x:v>
      </x:c>
      <x:c r="F8" s="38" t="n">
        <x:v>1</x:v>
      </x:c>
      <x:c r="G8" s="38" t="n">
        <x:v>0.75</x:v>
      </x:c>
      <x:c r="H8" s="38" t="n">
        <x:v>0</x:v>
      </x:c>
      <x:c r="I8" s="26" t="str">
        <x:v>META ATINGIDA</x:v>
      </x:c>
      <x:c r="J8" s="26" t="str">
        <x:v>NÃO</x:v>
      </x:c>
    </x:row>
    <x:row r="9">
      <x:c r="A9" s="26" t="str">
        <x:v>C05</x:v>
      </x:c>
      <x:c r="B9" s="26" t="str">
        <x:v>Cliente cancela OS e solicita devolução</x:v>
      </x:c>
      <x:c r="C9" s="26" t="str">
        <x:v>Cancelamento pelo Customer, pedido de devolução e confirmação física idempotente.</x:v>
      </x:c>
      <x:c r="D9" s="26" t="n">
        <x:f>COUNTIF(Checklist!$A$5:$A$55,A9)</x:f>
        <x:v>5</x:v>
      </x:c>
      <x:c r="E9" s="26" t="n">
        <x:v>5</x:v>
      </x:c>
      <x:c r="F9" s="38" t="n">
        <x:v>1</x:v>
      </x:c>
      <x:c r="G9" s="38" t="n">
        <x:v>0.75</x:v>
      </x:c>
      <x:c r="H9" s="38" t="n">
        <x:v>0</x:v>
      </x:c>
      <x:c r="I9" s="26" t="str">
        <x:v>META ATINGIDA</x:v>
      </x:c>
      <x:c r="J9" s="26" t="str">
        <x:v>NÃO</x:v>
      </x:c>
    </x:row>
    <x:row r="10">
      <x:c r="A10" s="26" t="str">
        <x:v>C06</x:v>
      </x:c>
      <x:c r="B10" s="26" t="str">
        <x:v>Cliente não aprova orçamento</x:v>
      </x:c>
      <x:c r="C10" s="26" t="str">
        <x:v>Decisão explícita do Customer sobre orçamento, NOT_APPROVED, idempotência e isolamento.</x:v>
      </x:c>
      <x:c r="D10" s="26" t="n">
        <x:f>COUNTIF(Checklist!$A$5:$A$55,A10)</x:f>
        <x:v>6</x:v>
      </x:c>
      <x:c r="E10" s="26" t="n">
        <x:v>6</x:v>
      </x:c>
      <x:c r="F10" s="38" t="n">
        <x:v>1</x:v>
      </x:c>
      <x:c r="G10" s="38" t="n">
        <x:v>0.75</x:v>
      </x:c>
      <x:c r="H10" s="38" t="n">
        <x:v>0</x:v>
      </x:c>
      <x:c r="I10" s="26" t="str">
        <x:v>META ATINGIDA</x:v>
      </x:c>
      <x:c r="J10" s="26" t="str">
        <x:v>NÃO</x:v>
      </x:c>
    </x:row>
    <x:row r="11">
      <x:c r="A11" s="26" t="str">
        <x:v>C07</x:v>
      </x:c>
      <x:c r="B11" s="26" t="str">
        <x:v>OS aprovada e concluída com sucesso</x:v>
      </x:c>
      <x:c r="C11" s="26" t="str">
        <x:v>Fluxo ponta a ponta com aprovação do Customer, histórico consistente, CRM e conclusão idempotente.</x:v>
      </x:c>
      <x:c r="D11" s="26" t="n">
        <x:f>COUNTIF(Checklist!$A$5:$A$55,A11)</x:f>
        <x:v>7</x:v>
      </x:c>
      <x:c r="E11" s="26" t="n">
        <x:v>7</x:v>
      </x:c>
      <x:c r="F11" s="38" t="n">
        <x:v>1</x:v>
      </x:c>
      <x:c r="G11" s="38" t="n">
        <x:v>0.75</x:v>
      </x:c>
      <x:c r="H11" s="38" t="n">
        <x:v>0</x:v>
      </x:c>
      <x:c r="I11" s="26" t="str">
        <x:v>META ATINGIDA</x:v>
      </x:c>
      <x:c r="J11" s="26" t="str">
        <x:v>NÃO</x:v>
      </x:c>
    </x:row>
  </x:sheetData>
  <x:mergeCells>
    <x:mergeCell ref="A1:J1"/>
    <x:mergeCell ref="A2:J2"/>
  </x:mergeCells>
  <x:conditionalFormatting sqref="F5:F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{31F10B5D-9CD2-BF59-5A54-BA04ECEA973F}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b77f0f8ae3045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F10B5D-9CD2-BF59-5A54-BA04ECEA973F}">
            <x14:dataBar gradient="1">
              <x14:cfvo type="min"/>
              <x14:cfvo type="max"/>
              <x14:fillColor rgb="FFA02B93"/>
            </x14:dataBar>
          </x14:cfRule>
          <xm:sqref>F5:F11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52" hidden="0" customWidth="1"/>
    <x:col min="5" max="5" width="22" hidden="0" customWidth="1"/>
    <x:col min="6" max="6" width="14" hidden="0" customWidth="1"/>
    <x:col min="7" max="7" width="24" hidden="0" customWidth="1"/>
    <x:col min="8" max="8" width="20" hidden="0" customWidth="1"/>
    <x:col min="9" max="9" width="46" hidden="0" customWidth="1"/>
  </x:cols>
  <x:sheetData>
    <x:row r="1">
      <x:c r="A1" s="5" t="str">
        <x:v>AssistAILab — Checklist Mestre de Cobertura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31" t="str">
        <x:v>Fluxo obrigatório: nova funcionalidade/regra → explicação → decisão → se aprovada, implementação + testes; se não aprovada, discussão continua sem implementação.</x:v>
      </x:c>
      <x:c r="B2" s="31"/>
      <x:c r="C2" s="31"/>
      <x:c r="D2" s="31"/>
      <x:c r="E2" s="31"/>
      <x:c r="F2" s="31"/>
      <x:c r="G2" s="31"/>
      <x:c r="H2" s="31"/>
      <x:c r="I2" s="31"/>
    </x:row>
    <x:row r="4">
      <x:c r="A4" s="20" t="str">
        <x:v>Cenário</x:v>
      </x:c>
      <x:c r="B4" s="20" t="str">
        <x:v>Item</x:v>
      </x:c>
      <x:c r="C4" s="20" t="str">
        <x:v>Área</x:v>
      </x:c>
      <x:c r="D4" s="20" t="str">
        <x:v>Regra / resultado esperado</x:v>
      </x:c>
      <x:c r="E4" s="20" t="str">
        <x:v>Implementação atual</x:v>
      </x:c>
      <x:c r="F4" s="20" t="str">
        <x:v>Teste atual</x:v>
      </x:c>
      <x:c r="G4" s="20" t="str">
        <x:v>Status</x:v>
      </x:c>
      <x:c r="H4" s="20" t="str">
        <x:v>Teste(s) relacionado(s)</x:v>
      </x:c>
      <x:c r="I4" s="20" t="str">
        <x:v>Observações / próximo passo</x:v>
      </x:c>
    </x:row>
    <x:row r="5">
      <x:c r="A5" s="26" t="str">
        <x:v>C01</x:v>
      </x:c>
      <x:c r="B5" s="26" t="str">
        <x:v>C01.01</x:v>
      </x:c>
      <x:c r="C5" s="26" t="str">
        <x:v>Auth / Segurança</x:v>
      </x:c>
      <x:c r="D5" s="26" t="str">
        <x:v>Backend não inicia sem JWT_SECRET.</x:v>
      </x:c>
      <x:c r="E5" s="26" t="str">
        <x:v>IMPLEMENTADO</x:v>
      </x:c>
      <x:c r="F5" s="26" t="str">
        <x:v>SIM</x:v>
      </x:c>
      <x:c r="G5" s="26" t="str">
        <x:v>COBERTO</x:v>
      </x:c>
      <x:c r="H5" s="26" t="str">
        <x:v>T001</x:v>
      </x:c>
      <x:c r="I5" s="26" t="str">
        <x:v>Já coberto pelo teste atual.</x:v>
      </x:c>
    </x:row>
    <x:row r="6">
      <x:c r="A6" s="26" t="str">
        <x:v>C01</x:v>
      </x:c>
      <x:c r="B6" s="26" t="str">
        <x:v>C01.02</x:v>
      </x:c>
      <x:c r="C6" s="26" t="str">
        <x:v>Auth / Segurança</x:v>
      </x:c>
      <x:c r="D6" s="26" t="str">
        <x:v>Cadastro público não pode injetar role privilegiada.</x:v>
      </x:c>
      <x:c r="E6" s="26" t="str">
        <x:v>IMPLEMENTADO</x:v>
      </x:c>
      <x:c r="F6" s="26" t="str">
        <x:v>SIM</x:v>
      </x:c>
      <x:c r="G6" s="26" t="str">
        <x:v>COBERTO</x:v>
      </x:c>
      <x:c r="H6" s="26" t="str">
        <x:v>T002</x:v>
      </x:c>
      <x:c r="I6" s="26" t="str">
        <x:v>Já coberto pelo teste atual.</x:v>
      </x:c>
    </x:row>
    <x:row r="7">
      <x:c r="A7" s="26" t="str">
        <x:v>C01</x:v>
      </x:c>
      <x:c r="B7" s="26" t="str">
        <x:v>C01.03</x:v>
      </x:c>
      <x:c r="C7" s="26" t="str">
        <x:v>Organization</x:v>
      </x:c>
      <x:c r="D7" s="26" t="str">
        <x:v>Organization existe antes do contexto autenticado de trabalho.</x:v>
      </x:c>
      <x:c r="E7" s="26" t="str">
        <x:v>IMPLEMENTADO</x:v>
      </x:c>
      <x:c r="F7" s="26" t="str">
        <x:v>SIM</x:v>
      </x:c>
      <x:c r="G7" s="26" t="str">
        <x:v>COBERTO</x:v>
      </x:c>
      <x:c r="H7" s="26" t="str">
        <x:v>T013</x:v>
      </x:c>
      <x:c r="I7" s="26" t="str">
        <x:v>Validado por fixture real: Organization persistida e vinculada ao ADMIN por Membership.</x:v>
      </x:c>
    </x:row>
    <x:row r="8">
      <x:c r="A8" s="26" t="str">
        <x:v>C01</x:v>
      </x:c>
      <x:c r="B8" s="26" t="str">
        <x:v>C01.04</x:v>
      </x:c>
      <x:c r="C8" s="26" t="str">
        <x:v>Membership</x:v>
      </x:c>
      <x:c r="D8" s="26" t="str">
        <x:v>ADMIN/TECH autenticado deve possuir Membership vinculada à Organization.</x:v>
      </x:c>
      <x:c r="E8" s="26" t="str">
        <x:v>IMPLEMENTADO</x:v>
      </x:c>
      <x:c r="F8" s="26" t="str">
        <x:v>SIM</x:v>
      </x:c>
      <x:c r="G8" s="26" t="str">
        <x:v>COBERTO</x:v>
      </x:c>
      <x:c r="H8" s="26" t="str">
        <x:v>T013; T016</x:v>
      </x:c>
      <x:c r="I8" s="26" t="str">
        <x:v>Membership válida confirmada; usuário ACTIVE sem Membership é bloqueado no login.</x:v>
      </x:c>
    </x:row>
    <x:row r="9">
      <x:c r="A9" s="26" t="str">
        <x:v>C01</x:v>
      </x:c>
      <x:c r="B9" s="26" t="str">
        <x:v>C01.05</x:v>
      </x:c>
      <x:c r="C9" s="26" t="str">
        <x:v>Login</x:v>
      </x:c>
      <x:c r="D9" s="26" t="str">
        <x:v>Login válido retorna JWT com role e organizationId derivados do backend.</x:v>
      </x:c>
      <x:c r="E9" s="26" t="str">
        <x:v>IMPLEMENTADO</x:v>
      </x:c>
      <x:c r="F9" s="26" t="str">
        <x:v>SIM</x:v>
      </x:c>
      <x:c r="G9" s="26" t="str">
        <x:v>COBERTO</x:v>
      </x:c>
      <x:c r="H9" s="26" t="str">
        <x:v>T014</x:v>
      </x:c>
      <x:c r="I9" s="26" t="str">
        <x:v>Login ADMIN retorna JWT com role e organizationId derivados da Membership.</x:v>
      </x:c>
    </x:row>
    <x:row r="10">
      <x:c r="A10" s="26" t="str">
        <x:v>C01</x:v>
      </x:c>
      <x:c r="B10" s="26" t="str">
        <x:v>C01.06</x:v>
      </x:c>
      <x:c r="C10" s="26" t="str">
        <x:v>Login</x:v>
      </x:c>
      <x:c r="D10" s="26" t="str">
        <x:v>Credenciais inválidas são rejeitadas.</x:v>
      </x:c>
      <x:c r="E10" s="26" t="str">
        <x:v>IMPLEMENTADO</x:v>
      </x:c>
      <x:c r="F10" s="26" t="str">
        <x:v>SIM</x:v>
      </x:c>
      <x:c r="G10" s="26" t="str">
        <x:v>COBERTO</x:v>
      </x:c>
      <x:c r="H10" s="26" t="str">
        <x:v>T015</x:v>
      </x:c>
      <x:c r="I10" s="26" t="str">
        <x:v>Senha inválida rejeitada com 401.</x:v>
      </x:c>
    </x:row>
    <x:row r="11">
      <x:c r="A11" s="26" t="str">
        <x:v>C01</x:v>
      </x:c>
      <x:c r="B11" s="26" t="str">
        <x:v>C01.07</x:v>
      </x:c>
      <x:c r="C11" s="26" t="str">
        <x:v>Auth /me</x:v>
      </x:c>
      <x:c r="D11" s="26" t="str">
        <x:v>/auth/me retorna identidade coerente com o usuário autenticado.</x:v>
      </x:c>
      <x:c r="E11" s="26" t="str">
        <x:v>IMPLEMENTADO</x:v>
      </x:c>
      <x:c r="F11" s="26" t="str">
        <x:v>SIM</x:v>
      </x:c>
      <x:c r="G11" s="26" t="str">
        <x:v>COBERTO</x:v>
      </x:c>
      <x:c r="H11" s="26" t="str">
        <x:v>T017</x:v>
      </x:c>
      <x:c r="I11" s="26" t="str">
        <x:v>/auth/me retorna usuário, status, role e Membership organizacional coerentes.</x:v>
      </x:c>
    </x:row>
    <x:row r="12">
      <x:c r="A12" s="26" t="str">
        <x:v>C01</x:v>
      </x:c>
      <x:c r="B12" s="26" t="str">
        <x:v>C01.08</x:v>
      </x:c>
      <x:c r="C12" s="26" t="str">
        <x:v>Multi-tenant</x:v>
      </x:c>
      <x:c r="D12" s="26" t="str">
        <x:v>Usuário da Organization A não pode operar dados protegidos da Organization B.</x:v>
      </x:c>
      <x:c r="E12" s="26" t="str">
        <x:v>IMPLEMENTADO PARCIAL</x:v>
      </x:c>
      <x:c r="F12" s="26" t="str">
        <x:v>SIM</x:v>
      </x:c>
      <x:c r="G12" s="26" t="str">
        <x:v>COBERTO</x:v>
      </x:c>
      <x:c r="H12" s="26" t="str">
        <x:v>T018; T019</x:v>
      </x:c>
      <x:c r="I12" s="26" t="str">
        <x:v>Organization A recebe 404 para OS da B; Organization B acessa sua própria OS com 200.</x:v>
      </x:c>
    </x:row>
    <x:row r="13">
      <x:c r="A13" s="26" t="str">
        <x:v>C01</x:v>
      </x:c>
      <x:c r="B13" s="26" t="str">
        <x:v>C01.09</x:v>
      </x:c>
      <x:c r="C13" s="26" t="str">
        <x:v>Licenciamento</x:v>
      </x:c>
      <x:c r="D13" s="26" t="str">
        <x:v>Aquisição/ativação da licença da Organization.</x:v>
      </x:c>
      <x:c r="E13" s="26" t="str">
        <x:v>NÃO IMPLEMENTADO</x:v>
      </x:c>
      <x:c r="F13" s="26" t="str">
        <x:v>NÃO</x:v>
      </x:c>
      <x:c r="G13" s="26" t="str">
        <x:v>PENDENTE_IMPLEMENTACAO</x:v>
      </x:c>
      <x:c r="H13" s="26" t="str"/>
      <x:c r="I13" s="26" t="str">
        <x:v>Não implementar sem discussão/decisão específica.</x:v>
      </x:c>
    </x:row>
    <x:row r="14">
      <x:c r="A14" s="26" t="str">
        <x:v>C01</x:v>
      </x:c>
      <x:c r="B14" s="26" t="str">
        <x:v>C01.10</x:v>
      </x:c>
      <x:c r="C14" s="26" t="str">
        <x:v>Frontend</x:v>
      </x:c>
      <x:c r="D14" s="26" t="str">
        <x:v>Login integrado Desktop/Web/Mobile.</x:v>
      </x:c>
      <x:c r="E14" s="26" t="str">
        <x:v>NÃO IMPLEMENTADO</x:v>
      </x:c>
      <x:c r="F14" s="26" t="str">
        <x:v>NÃO</x:v>
      </x:c>
      <x:c r="G14" s="26" t="str">
        <x:v>PENDENTE_IMPLEMENTACAO</x:v>
      </x:c>
      <x:c r="H14" s="26" t="str"/>
      <x:c r="I14" s="26" t="str">
        <x:v>Frontend Auth ainda não integrado.</x:v>
      </x:c>
    </x:row>
    <x:row r="15">
      <x:c r="A15" s="26" t="str">
        <x:v>C02</x:v>
      </x:c>
      <x:c r="B15" s="26" t="str">
        <x:v>C02.01</x:v>
      </x:c>
      <x:c r="C15" s="26" t="str">
        <x:v>CustomerOrganization</x:v>
      </x:c>
      <x:c r="D15" s="26" t="str">
        <x:v>Organization pode abrir OS apenas para Customer com relacionamento ACTIVE.</x:v>
      </x:c>
      <x:c r="E15" s="26" t="str">
        <x:v>IMPLEMENTADO</x:v>
      </x:c>
      <x:c r="F15" s="26" t="str">
        <x:v>SIM</x:v>
      </x:c>
      <x:c r="G15" s="26" t="str">
        <x:v>COBERTO</x:v>
      </x:c>
      <x:c r="H15" s="26" t="str">
        <x:v>T020; T021</x:v>
      </x:c>
      <x:c r="I15" s="26" t="str">
        <x:v>Customer ACTIVE cria OS; relacionamento BLOCKED é rejeitado.</x:v>
      </x:c>
    </x:row>
    <x:row r="16">
      <x:c r="A16" s="26" t="str">
        <x:v>C02</x:v>
      </x:c>
      <x:c r="B16" s="26" t="str">
        <x:v>C02.02</x:v>
      </x:c>
      <x:c r="C16" s="26" t="str">
        <x:v>Equipment</x:v>
      </x:c>
      <x:c r="D16" s="26" t="str">
        <x:v>Equipment principal da OS pertence ao mesmo Customer informado.</x:v>
      </x:c>
      <x:c r="E16" s="26" t="str">
        <x:v>IMPLEMENTADO</x:v>
      </x:c>
      <x:c r="F16" s="26" t="str">
        <x:v>SIM</x:v>
      </x:c>
      <x:c r="G16" s="26" t="str">
        <x:v>COBERTO</x:v>
      </x:c>
      <x:c r="H16" s="26" t="str">
        <x:v>T022</x:v>
      </x:c>
      <x:c r="I16" s="26" t="str">
        <x:v>OS com Equipment de outro Customer é rejeitada.</x:v>
      </x:c>
    </x:row>
    <x:row r="17">
      <x:c r="A17" s="26" t="str">
        <x:v>C02</x:v>
      </x:c>
      <x:c r="B17" s="26" t="str">
        <x:v>C02.03</x:v>
      </x:c>
      <x:c r="C17" s="26" t="str">
        <x:v>Service Order</x:v>
      </x:c>
      <x:c r="D17" s="26" t="str">
        <x:v>OS exige Organization + Customer + Equipment.</x:v>
      </x:c>
      <x:c r="E17" s="26" t="str">
        <x:v>IMPLEMENTADO</x:v>
      </x:c>
      <x:c r="F17" s="26" t="str">
        <x:v>SIM</x:v>
      </x:c>
      <x:c r="G17" s="26" t="str">
        <x:v>COBERTO</x:v>
      </x:c>
      <x:c r="H17" s="26" t="str">
        <x:v>T020; T024</x:v>
      </x:c>
      <x:c r="I17" s="26" t="str">
        <x:v>OS mantém Organization + Customer + Equipment; primeiro atendimento cria Equipment + OS no mesmo fluxo.</x:v>
      </x:c>
    </x:row>
    <x:row r="18">
      <x:c r="A18" s="26" t="str">
        <x:v>C02</x:v>
      </x:c>
      <x:c r="B18" s="26" t="str">
        <x:v>C02.04</x:v>
      </x:c>
      <x:c r="C18" s="26" t="str">
        <x:v>Equipment / Acesso</x:v>
      </x:c>
      <x:c r="D18" s="26" t="str">
        <x:v>CustomerOrganization sozinho não concede acesso a todos os Equipment do cliente.</x:v>
      </x:c>
      <x:c r="E18" s="26" t="str">
        <x:v>IMPLEMENTADO</x:v>
      </x:c>
      <x:c r="F18" s="26" t="str">
        <x:v>SIM</x:v>
      </x:c>
      <x:c r="G18" s="26" t="str">
        <x:v>COBERTO</x:v>
      </x:c>
      <x:c r="H18" s="26" t="str">
        <x:v>T024; T025</x:v>
      </x:c>
      <x:c r="I18" s="26" t="str">
        <x:v>CustomerOrganization sozinho não concede acesso a Equipment; cadastro avulso pela equipe é bloqueado.</x:v>
      </x:c>
    </x:row>
    <x:row r="19">
      <x:c r="A19" s="26" t="str">
        <x:v>C02</x:v>
      </x:c>
      <x:c r="B19" s="26" t="str">
        <x:v>C02.05</x:v>
      </x:c>
      <x:c r="C19" s="26" t="str">
        <x:v>Equipment / Acesso</x:v>
      </x:c>
      <x:c r="D19" s="26" t="str">
        <x:v>Organization acessa Equipment do Customer quando existe OS própria para o Equipment.</x:v>
      </x:c>
      <x:c r="E19" s="26" t="str">
        <x:v>IMPLEMENTADO</x:v>
      </x:c>
      <x:c r="F19" s="26" t="str">
        <x:v>SIM</x:v>
      </x:c>
      <x:c r="G19" s="26" t="str">
        <x:v>COBERTO</x:v>
      </x:c>
      <x:c r="H19" s="26" t="str">
        <x:v>T024</x:v>
      </x:c>
      <x:c r="I19" s="26" t="str">
        <x:v>Organization passa a acessar Equipment do Customer somente após possuir OS própria para ele.</x:v>
      </x:c>
    </x:row>
    <x:row r="20">
      <x:c r="A20" s="26" t="str">
        <x:v>C02</x:v>
      </x:c>
      <x:c r="B20" s="26" t="str">
        <x:v>C02.06</x:v>
      </x:c>
      <x:c r="C20" s="26" t="str">
        <x:v>CRM</x:v>
      </x:c>
      <x:c r="D20" s="26" t="str">
        <x:v>Criação/estados operacionais não geram lifecycle events indevidos.</x:v>
      </x:c>
      <x:c r="E20" s="26" t="str">
        <x:v>IMPLEMENTADO</x:v>
      </x:c>
      <x:c r="F20" s="26" t="str">
        <x:v>SIM</x:v>
      </x:c>
      <x:c r="G20" s="26" t="str">
        <x:v>COBERTO</x:v>
      </x:c>
      <x:c r="H20" s="26" t="str">
        <x:v>T008</x:v>
      </x:c>
      <x:c r="I20" s="26" t="str">
        <x:v>Cobertura unitária atual mantida.</x:v>
      </x:c>
    </x:row>
    <x:row r="21">
      <x:c r="A21" s="26" t="str">
        <x:v>C02</x:v>
      </x:c>
      <x:c r="B21" s="26" t="str">
        <x:v>C02.07</x:v>
      </x:c>
      <x:c r="C21" s="26" t="str">
        <x:v>Multi-tenant</x:v>
      </x:c>
      <x:c r="D21" s="26" t="str">
        <x:v>Organization B não acessa OS criada pela Organization A.</x:v>
      </x:c>
      <x:c r="E21" s="26" t="str">
        <x:v>IMPLEMENTADO</x:v>
      </x:c>
      <x:c r="F21" s="26" t="str">
        <x:v>SIM</x:v>
      </x:c>
      <x:c r="G21" s="26" t="str">
        <x:v>COBERTO</x:v>
      </x:c>
      <x:c r="H21" s="26" t="str">
        <x:v>T023; T024</x:v>
      </x:c>
      <x:c r="I21" s="26" t="str">
        <x:v>Isolamento entre Organizations validado na criação e no acesso a Equipment.</x:v>
      </x:c>
    </x:row>
    <x:row r="22">
      <x:c r="A22" s="26" t="str">
        <x:v>C02</x:v>
      </x:c>
      <x:c r="B22" s="26" t="str">
        <x:v>C02.08</x:v>
      </x:c>
      <x:c r="C22" s="26" t="str">
        <x:v>Múltiplos equipamentos</x:v>
      </x:c>
      <x:c r="D22" s="26" t="str">
        <x:v>Mesmo Customer pode abrir OS distintas para Notebook e Celular.</x:v>
      </x:c>
      <x:c r="E22" s="26" t="str">
        <x:v>IMPLEMENTADO</x:v>
      </x:c>
      <x:c r="F22" s="26" t="str">
        <x:v>SIM</x:v>
      </x:c>
      <x:c r="G22" s="26" t="str">
        <x:v>COBERTO</x:v>
      </x:c>
      <x:c r="H22" s="26" t="str">
        <x:v>T020</x:v>
      </x:c>
      <x:c r="I22" s="26" t="str">
        <x:v>Mesmo Customer possui OS distintas para Notebook e Celular.</x:v>
      </x:c>
    </x:row>
    <x:row r="23">
      <x:c r="A23" s="26" t="str">
        <x:v>C03</x:v>
      </x:c>
      <x:c r="B23" s="26" t="str">
        <x:v>C03.01</x:v>
      </x:c>
      <x:c r="C23" s="26" t="str">
        <x:v>Cadastro Customer</x:v>
      </x:c>
      <x:c r="D23" s="26" t="str">
        <x:v>Cadastro público exige password.</x:v>
      </x:c>
      <x:c r="E23" s="26" t="str">
        <x:v>IMPLEMENTADO</x:v>
      </x:c>
      <x:c r="F23" s="26" t="str">
        <x:v>SIM</x:v>
      </x:c>
      <x:c r="G23" s="26" t="str">
        <x:v>COBERTO</x:v>
      </x:c>
      <x:c r="H23" s="26" t="str">
        <x:v>T003</x:v>
      </x:c>
      <x:c r="I23" s="26" t="str"/>
    </x:row>
    <x:row r="24">
      <x:c r="A24" s="26" t="str">
        <x:v>C03</x:v>
      </x:c>
      <x:c r="B24" s="26" t="str">
        <x:v>C03.02</x:v>
      </x:c>
      <x:c r="C24" s="26" t="str">
        <x:v>Cadastro Customer</x:v>
      </x:c>
      <x:c r="D24" s="26" t="str">
        <x:v>Cadastro público válido cria Customer/User permitido.</x:v>
      </x:c>
      <x:c r="E24" s="26" t="str">
        <x:v>IMPLEMENTADO</x:v>
      </x:c>
      <x:c r="F24" s="26" t="str">
        <x:v>SIM</x:v>
      </x:c>
      <x:c r="G24" s="26" t="str">
        <x:v>COBERTO</x:v>
      </x:c>
      <x:c r="H24" s="26" t="str">
        <x:v>T004</x:v>
      </x:c>
      <x:c r="I24" s="26" t="str"/>
    </x:row>
    <x:row r="25">
      <x:c r="A25" s="26" t="str">
        <x:v>C03</x:v>
      </x:c>
      <x:c r="B25" s="26" t="str">
        <x:v>C03.03</x:v>
      </x:c>
      <x:c r="C25" s="26" t="str">
        <x:v>Segurança</x:v>
      </x:c>
      <x:c r="D25" s="26" t="str">
        <x:v>Cadastro público não permite role privilegiada.</x:v>
      </x:c>
      <x:c r="E25" s="26" t="str">
        <x:v>IMPLEMENTADO</x:v>
      </x:c>
      <x:c r="F25" s="26" t="str">
        <x:v>SIM</x:v>
      </x:c>
      <x:c r="G25" s="26" t="str">
        <x:v>COBERTO</x:v>
      </x:c>
      <x:c r="H25" s="26" t="str">
        <x:v>T002</x:v>
      </x:c>
      <x:c r="I25" s="26" t="str"/>
    </x:row>
    <x:row r="26">
      <x:c r="A26" s="26" t="str">
        <x:v>C03</x:v>
      </x:c>
      <x:c r="B26" s="26" t="str">
        <x:v>C03.04</x:v>
      </x:c>
      <x:c r="C26" s="26" t="str">
        <x:v>Onboarding</x:v>
      </x:c>
      <x:c r="D26" s="26" t="str">
        <x:v>Customer PENDING é vinculado à Organization pelo fluxo de onboarding/claim.</x:v>
      </x:c>
      <x:c r="E26" s="26" t="str">
        <x:v>IMPLEMENTADO</x:v>
      </x:c>
      <x:c r="F26" s="26" t="str">
        <x:v>SIM</x:v>
      </x:c>
      <x:c r="G26" s="26" t="str">
        <x:v>COBERTO</x:v>
      </x:c>
      <x:c r="H26" s="26" t="str">
        <x:v>T026</x:v>
      </x:c>
      <x:c r="I26" s="26" t="str">
        <x:v>Onboarding por CUSTOMER_ONBOARDING vinculado à OS; claim resolve o Customer pelo backend, ativa User CUSTOMER e invalida o grant.</x:v>
      </x:c>
    </x:row>
    <x:row r="27">
      <x:c r="A27" s="26" t="str">
        <x:v>C03</x:v>
      </x:c>
      <x:c r="B27" s="26" t="str">
        <x:v>C03.05</x:v>
      </x:c>
      <x:c r="C27" s="26" t="str">
        <x:v>Login Customer</x:v>
      </x:c>
      <x:c r="D27" s="26" t="str">
        <x:v>Customer habilitado consegue autenticar.</x:v>
      </x:c>
      <x:c r="E27" s="26" t="str">
        <x:v>IMPLEMENTADO</x:v>
      </x:c>
      <x:c r="F27" s="26" t="str">
        <x:v>SIM</x:v>
      </x:c>
      <x:c r="G27" s="26" t="str">
        <x:v>COBERTO</x:v>
      </x:c>
      <x:c r="H27" s="26" t="str">
        <x:v>T027</x:v>
      </x:c>
      <x:c r="I27" s="26" t="str">
        <x:v>CUSTOMER ACTIVE autentica sem Membership; JWT usa customerId global e organizationId = null.</x:v>
      </x:c>
    </x:row>
    <x:row r="28">
      <x:c r="A28" s="26" t="str">
        <x:v>C03</x:v>
      </x:c>
      <x:c r="B28" s="26" t="str">
        <x:v>C03.06</x:v>
      </x:c>
      <x:c r="C28" s="26" t="str">
        <x:v>Consulta OS</x:v>
      </x:c>
      <x:c r="D28" s="26" t="str">
        <x:v>Customer consulta somente suas próprias OS.</x:v>
      </x:c>
      <x:c r="E28" s="26" t="str">
        <x:v>IMPLEMENTADO</x:v>
      </x:c>
      <x:c r="F28" s="26" t="str">
        <x:v>SIM</x:v>
      </x:c>
      <x:c r="G28" s="26" t="str">
        <x:v>COBERTO</x:v>
      </x:c>
      <x:c r="H28" s="26" t="str">
        <x:v>T028</x:v>
      </x:c>
      <x:c r="I28" s="26" t="str">
        <x:v>Customer acessa a própria OS e recebe 404 ao tentar consultar OS de outro Customer.</x:v>
      </x:c>
    </x:row>
    <x:row r="29">
      <x:c r="A29" s="26" t="str">
        <x:v>C03</x:v>
      </x:c>
      <x:c r="B29" s="26" t="str">
        <x:v>C03.07</x:v>
      </x:c>
      <x:c r="C29" s="26" t="str">
        <x:v>Visão histórica/global</x:v>
      </x:c>
      <x:c r="D29" s="26" t="str">
        <x:v>Customer visualiza todas as próprias OS ao longo da existência.</x:v>
      </x:c>
      <x:c r="E29" s="26" t="str">
        <x:v>IMPLEMENTADO</x:v>
      </x:c>
      <x:c r="F29" s="26" t="str">
        <x:v>SIM</x:v>
      </x:c>
      <x:c r="G29" s="26" t="str">
        <x:v>COBERTO</x:v>
      </x:c>
      <x:c r="H29" s="26" t="str">
        <x:v>T029; T030</x:v>
      </x:c>
      <x:c r="I29" s="26" t="str">
        <x:v>Histórico global validado na API REST e no Sync Pull/offline-first entre múltiplas Organizations.</x:v>
      </x:c>
    </x:row>
    <x:row r="30">
      <x:c r="A30" s="26" t="str">
        <x:v>C04</x:v>
      </x:c>
      <x:c r="B30" s="26" t="str">
        <x:v>C04.01</x:v>
      </x:c>
      <x:c r="C30" s="26" t="str">
        <x:v>Equipment Ownership</x:v>
      </x:c>
      <x:c r="D30" s="26" t="str">
        <x:v>Equipment de Customer pode tornar-se propriedade da Organization somente por aquisição autorizada.</x:v>
      </x:c>
      <x:c r="E30" s="26" t="str">
        <x:v>IMPLEMENTADO</x:v>
      </x:c>
      <x:c r="F30" s="26" t="str">
        <x:v>SIM</x:v>
      </x:c>
      <x:c r="G30" s="26" t="str">
        <x:v>COBERTO</x:v>
      </x:c>
      <x:c r="H30" s="26" t="str">
        <x:v>T031; T035</x:v>
      </x:c>
      <x:c r="I30" s="26" t="str">
        <x:v>Proposta não transfere ownership; somente COMPLETED após autorização altera Equipment para ORGANIZATION.</x:v>
      </x:c>
    </x:row>
    <x:row r="31">
      <x:c r="A31" s="26" t="str">
        <x:v>C04</x:v>
      </x:c>
      <x:c r="B31" s="26" t="str">
        <x:v>C04.02</x:v>
      </x:c>
      <x:c r="C31" s="26" t="str">
        <x:v>Finalidade</x:v>
      </x:c>
      <x:c r="D31" s="26" t="str">
        <x:v>Aquisição diferencia RESALE de PARTS_DONOR.</x:v>
      </x:c>
      <x:c r="E31" s="26" t="str">
        <x:v>IMPLEMENTADO</x:v>
      </x:c>
      <x:c r="F31" s="26" t="str">
        <x:v>SIM</x:v>
      </x:c>
      <x:c r="G31" s="26" t="str">
        <x:v>COBERTO</x:v>
      </x:c>
      <x:c r="H31" s="26" t="str">
        <x:v>T032</x:v>
      </x:c>
      <x:c r="I31" s="26" t="str">
        <x:v>Finalidade RESALE e PARTS_DONOR validada e persistida separadamente.</x:v>
      </x:c>
    </x:row>
    <x:row r="32">
      <x:c r="A32" s="26" t="str">
        <x:v>C04</x:v>
      </x:c>
      <x:c r="B32" s="26" t="str">
        <x:v>C04.03</x:v>
      </x:c>
      <x:c r="C32" s="26" t="str">
        <x:v>Proposta (4.1)</x:v>
      </x:c>
      <x:c r="D32" s="26" t="str">
        <x:v>Organization apresenta proposta após identificar inviabilidade/alternativa de reparo.</x:v>
      </x:c>
      <x:c r="E32" s="26" t="str">
        <x:v>IMPLEMENTADO</x:v>
      </x:c>
      <x:c r="F32" s="26" t="str">
        <x:v>SIM</x:v>
      </x:c>
      <x:c r="G32" s="26" t="str">
        <x:v>COBERTO</x:v>
      </x:c>
      <x:c r="H32" s="26" t="str">
        <x:v>T031</x:v>
      </x:c>
      <x:c r="I32" s="26" t="str">
        <x:v>Organization cria proposta vinculada ao Equipment/OS conhecida sem transferir propriedade.</x:v>
      </x:c>
    </x:row>
    <x:row r="33">
      <x:c r="A33" s="26" t="str">
        <x:v>C04</x:v>
      </x:c>
      <x:c r="B33" s="26" t="str">
        <x:v>C04.04</x:v>
      </x:c>
      <x:c r="C33" s="26" t="str">
        <x:v>Consentimento (4.1)</x:v>
      </x:c>
      <x:c r="D33" s="26" t="str">
        <x:v>Customer autoriza ou rejeita a aquisição e a finalidade apresentada.</x:v>
      </x:c>
      <x:c r="E33" s="26" t="str">
        <x:v>IMPLEMENTADO</x:v>
      </x:c>
      <x:c r="F33" s="26" t="str">
        <x:v>SIM</x:v>
      </x:c>
      <x:c r="G33" s="26" t="str">
        <x:v>COBERTO</x:v>
      </x:c>
      <x:c r="H33" s="26" t="str">
        <x:v>T033; T034</x:v>
      </x:c>
      <x:c r="I33" s="26" t="str">
        <x:v>Customer pode autorizar ou rejeitar; autorização registra método, snapshot e hash de consentimento.</x:v>
      </x:c>
    </x:row>
    <x:row r="34">
      <x:c r="A34" s="26" t="str">
        <x:v>C04</x:v>
      </x:c>
      <x:c r="B34" s="26" t="str">
        <x:v>C04.05</x:v>
      </x:c>
      <x:c r="C34" s="26" t="str">
        <x:v>Transferência</x:v>
      </x:c>
      <x:c r="D34" s="26" t="str">
        <x:v>Somente aquisição concluída altera ownerType para ORGANIZATION.</x:v>
      </x:c>
      <x:c r="E34" s="26" t="str">
        <x:v>IMPLEMENTADO</x:v>
      </x:c>
      <x:c r="F34" s="26" t="str">
        <x:v>SIM</x:v>
      </x:c>
      <x:c r="G34" s="26" t="str">
        <x:v>COBERTO</x:v>
      </x:c>
      <x:c r="H34" s="26" t="str">
        <x:v>T035</x:v>
      </x:c>
      <x:c r="I34" s="26" t="str">
        <x:v>Somente aquisição AUTHORIZED pode ser concluída e efetivar CUSTOMER → ORGANIZATION.</x:v>
      </x:c>
    </x:row>
    <x:row r="35">
      <x:c r="A35" s="26" t="str">
        <x:v>C04</x:v>
      </x:c>
      <x:c r="B35" s="26" t="str">
        <x:v>C04.06</x:v>
      </x:c>
      <x:c r="C35" s="26" t="str">
        <x:v>Acesso Organization</x:v>
      </x:c>
      <x:c r="D35" s="26" t="str">
        <x:v>Equipment próprio da Organization pode ser acessado diretamente pela Organization proprietária.</x:v>
      </x:c>
      <x:c r="E35" s="26" t="str">
        <x:v>IMPLEMENTADO</x:v>
      </x:c>
      <x:c r="F35" s="26" t="str">
        <x:v>SIM</x:v>
      </x:c>
      <x:c r="G35" s="26" t="str">
        <x:v>COBERTO</x:v>
      </x:c>
      <x:c r="H35" s="26" t="str">
        <x:v>T035</x:v>
      </x:c>
      <x:c r="I35" s="26" t="str">
        <x:v>Após COMPLETED a Organization proprietária acessa diretamente o Equipment.</x:v>
      </x:c>
    </x:row>
    <x:row r="36">
      <x:c r="A36" s="26" t="str">
        <x:v>C04</x:v>
      </x:c>
      <x:c r="B36" s="26" t="str">
        <x:v>C04.07</x:v>
      </x:c>
      <x:c r="C36" s="26" t="str">
        <x:v>Isolamento</x:v>
      </x:c>
      <x:c r="D36" s="26" t="str">
        <x:v>Outra Organization não acessa Equipment adquirido por Organization A.</x:v>
      </x:c>
      <x:c r="E36" s="26" t="str">
        <x:v>IMPLEMENTADO</x:v>
      </x:c>
      <x:c r="F36" s="26" t="str">
        <x:v>SIM</x:v>
      </x:c>
      <x:c r="G36" s="26" t="str">
        <x:v>COBERTO</x:v>
      </x:c>
      <x:c r="H36" s="26" t="str">
        <x:v>T036</x:v>
      </x:c>
      <x:c r="I36" s="26" t="str">
        <x:v>Outra Organization recebe 404 para aquisição/Equipment pertencente à Organization A.</x:v>
      </x:c>
    </x:row>
    <x:row r="37">
      <x:c r="A37" s="26" t="str">
        <x:v>C04</x:v>
      </x:c>
      <x:c r="B37" s="26" t="str">
        <x:v>C04.08</x:v>
      </x:c>
      <x:c r="C37" s="26" t="str">
        <x:v>Sync</x:v>
      </x:c>
      <x:c r="D37" s="26" t="str">
        <x:v>Sync genérico não pode transferir ownership CUSTOMER → ORGANIZATION.</x:v>
      </x:c>
      <x:c r="E37" s="26" t="str">
        <x:v>IMPLEMENTADO</x:v>
      </x:c>
      <x:c r="F37" s="26" t="str">
        <x:v>SIM</x:v>
      </x:c>
      <x:c r="G37" s="26" t="str">
        <x:v>COBERTO</x:v>
      </x:c>
      <x:c r="H37" s="26" t="str">
        <x:v>T037</x:v>
      </x:c>
      <x:c r="I37" s="26" t="str">
        <x:v>Sync genérico rejeita ownerType ORGANIZATION, organizationId e organizationPurpose injetados.</x:v>
      </x:c>
    </x:row>
    <x:row r="38">
      <x:c r="A38" s="26" t="str">
        <x:v>C05</x:v>
      </x:c>
      <x:c r="B38" s="26" t="str">
        <x:v>C05.01</x:v>
      </x:c>
      <x:c r="C38" s="26" t="str">
        <x:v>State machine</x:v>
      </x:c>
      <x:c r="D38" s="26" t="str">
        <x:v>Cancelamento é permitido a partir dos estados atualmente válidos.</x:v>
      </x:c>
      <x:c r="E38" s="26" t="str">
        <x:v>IMPLEMENTADO</x:v>
      </x:c>
      <x:c r="F38" s="26" t="str">
        <x:v>SIM</x:v>
      </x:c>
      <x:c r="G38" s="26" t="str">
        <x:v>COBERTO</x:v>
      </x:c>
      <x:c r="H38" s="26" t="str">
        <x:v>T010</x:v>
      </x:c>
      <x:c r="I38" s="26" t="str">
        <x:v>State machine mantém cancelamento permitido apenas a partir dos estados válidos.</x:v>
      </x:c>
    </x:row>
    <x:row r="39">
      <x:c r="A39" s="26" t="str">
        <x:v>C05</x:v>
      </x:c>
      <x:c r="B39" s="26" t="str">
        <x:v>C05.02</x:v>
      </x:c>
      <x:c r="C39" s="26" t="str">
        <x:v>CRM</x:v>
      </x:c>
      <x:c r="D39" s="26" t="str">
        <x:v>CANCELADO mapeia para SERVICE_ORDER_CANCELLED.</x:v>
      </x:c>
      <x:c r="E39" s="26" t="str">
        <x:v>IMPLEMENTADO</x:v>
      </x:c>
      <x:c r="F39" s="26" t="str">
        <x:v>SIM</x:v>
      </x:c>
      <x:c r="G39" s="26" t="str">
        <x:v>COBERTO</x:v>
      </x:c>
      <x:c r="H39" s="26" t="str">
        <x:v>T006; T038</x:v>
      </x:c>
      <x:c r="I39" s="26" t="str">
        <x:v>Cancelamento real gera SERVICE_ORDER_CANCELLED uma única vez.</x:v>
      </x:c>
    </x:row>
    <x:row r="40">
      <x:c r="A40" s="26" t="str">
        <x:v>C05</x:v>
      </x:c>
      <x:c r="B40" s="26" t="str">
        <x:v>C05.03</x:v>
      </x:c>
      <x:c r="C40" s="26" t="str">
        <x:v>Endpoint / Integração</x:v>
      </x:c>
      <x:c r="D40" s="26" t="str">
        <x:v>Cancelamento real da OS persiste status + histórico + CRM atomicamente.</x:v>
      </x:c>
      <x:c r="E40" s="26" t="str">
        <x:v>IMPLEMENTADO</x:v>
      </x:c>
      <x:c r="F40" s="26" t="str">
        <x:v>SIM</x:v>
      </x:c>
      <x:c r="G40" s="26" t="str">
        <x:v>COBERTO</x:v>
      </x:c>
      <x:c r="H40" s="26" t="str">
        <x:v>T038; T039</x:v>
      </x:c>
      <x:c r="I40" s="26" t="str">
        <x:v>Cancelamento pelo Customer persiste status, histórico e CRM; retry é idempotente.</x:v>
      </x:c>
    </x:row>
    <x:row r="41">
      <x:c r="A41" s="26" t="str">
        <x:v>C05</x:v>
      </x:c>
      <x:c r="B41" s="26" t="str">
        <x:v>C05.04</x:v>
      </x:c>
      <x:c r="C41" s="26" t="str">
        <x:v>Multi-tenant</x:v>
      </x:c>
      <x:c r="D41" s="26" t="str">
        <x:v>Outro Customer/tenant não cancela OS alheia; recurso permanece protegido pelo ownership e isolamento organizacional.</x:v>
      </x:c>
      <x:c r="E41" s="26" t="str">
        <x:v>IMPLEMENTADO</x:v>
      </x:c>
      <x:c r="F41" s="26" t="str">
        <x:v>SIM</x:v>
      </x:c>
      <x:c r="G41" s="26" t="str">
        <x:v>COBERTO</x:v>
      </x:c>
      <x:c r="H41" s="26" t="str">
        <x:v>T039; T018</x:v>
      </x:c>
      <x:c r="I41" s="26" t="str">
        <x:v>Outro Customer recebe 404; isolamento organizacional do recurso permanece validado transversalmente.</x:v>
      </x:c>
    </x:row>
    <x:row r="42">
      <x:c r="A42" s="26" t="str">
        <x:v>C05</x:v>
      </x:c>
      <x:c r="B42" s="26" t="str">
        <x:v>C05.05</x:v>
      </x:c>
      <x:c r="C42" s="26" t="str">
        <x:v>Devolução física</x:v>
      </x:c>
      <x:c r="D42" s="26" t="str">
        <x:v>Solicitação/devolução física do Equipment ao Customer.</x:v>
      </x:c>
      <x:c r="E42" s="26" t="str">
        <x:v>IMPLEMENTADO</x:v>
      </x:c>
      <x:c r="F42" s="26" t="str">
        <x:v>SIM</x:v>
      </x:c>
      <x:c r="G42" s="26" t="str">
        <x:v>COBERTO</x:v>
      </x:c>
      <x:c r="H42" s="26" t="str">
        <x:v>T038; T040</x:v>
      </x:c>
      <x:c r="I42" s="26" t="str">
        <x:v>Customer solicita devolução e staff confirma entrega física; ownership continua CUSTOMER e confirmação é idempotente.</x:v>
      </x:c>
    </x:row>
    <x:row r="43">
      <x:c r="A43" s="26" t="str">
        <x:v>C06</x:v>
      </x:c>
      <x:c r="B43" s="26" t="str">
        <x:v>C06.01</x:v>
      </x:c>
      <x:c r="C43" s="26" t="str">
        <x:v>Semântica</x:v>
      </x:c>
      <x:c r="D43" s="26" t="str">
        <x:v>AGUARDANDO_APROVACAO não significa orçamento rejeitado.</x:v>
      </x:c>
      <x:c r="E43" s="26" t="str">
        <x:v>IMPLEMENTADO</x:v>
      </x:c>
      <x:c r="F43" s="26" t="str">
        <x:v>SIM</x:v>
      </x:c>
      <x:c r="G43" s="26" t="str">
        <x:v>COBERTO</x:v>
      </x:c>
      <x:c r="H43" s="26" t="str">
        <x:v>T007</x:v>
      </x:c>
      <x:c r="I43" s="26" t="str">
        <x:v>AGUARDANDO_APROVACAO permanece semanticamente distinto de rejeição.</x:v>
      </x:c>
    </x:row>
    <x:row r="44">
      <x:c r="A44" s="26" t="str">
        <x:v>C06</x:v>
      </x:c>
      <x:c r="B44" s="26" t="str">
        <x:v>C06.02</x:v>
      </x:c>
      <x:c r="C44" s="26" t="str">
        <x:v>Ação explícita</x:v>
      </x:c>
      <x:c r="D44" s="26" t="str">
        <x:v>Ação /not-approved só é válida a partir de AGUARDANDO_APROVACAO.</x:v>
      </x:c>
      <x:c r="E44" s="26" t="str">
        <x:v>IMPLEMENTADO</x:v>
      </x:c>
      <x:c r="F44" s="26" t="str">
        <x:v>SIM</x:v>
      </x:c>
      <x:c r="G44" s="26" t="str">
        <x:v>COBERTO</x:v>
      </x:c>
      <x:c r="H44" s="26" t="str">
        <x:v>T041; T043</x:v>
      </x:c>
      <x:c r="I44" s="26" t="str">
        <x:v>Decisão REJECT funciona em AGUARDANDO_APROVACAO e é bloqueada fora desse estado.</x:v>
      </x:c>
    </x:row>
    <x:row r="45">
      <x:c r="A45" s="26" t="str">
        <x:v>C06</x:v>
      </x:c>
      <x:c r="B45" s="26" t="str">
        <x:v>C06.03</x:v>
      </x:c>
      <x:c r="C45" s="26" t="str">
        <x:v>CRM</x:v>
      </x:c>
      <x:c r="D45" s="26" t="str">
        <x:v>Não aprovação gera SERVICE_ORDER_NOT_APPROVED.</x:v>
      </x:c>
      <x:c r="E45" s="26" t="str">
        <x:v>IMPLEMENTADO</x:v>
      </x:c>
      <x:c r="F45" s="26" t="str">
        <x:v>SIM</x:v>
      </x:c>
      <x:c r="G45" s="26" t="str">
        <x:v>COBERTO</x:v>
      </x:c>
      <x:c r="H45" s="26" t="str">
        <x:v>T041</x:v>
      </x:c>
      <x:c r="I45" s="26" t="str">
        <x:v>Rejeição explícita gera SERVICE_ORDER_NOT_APPROVED.</x:v>
      </x:c>
    </x:row>
    <x:row r="46">
      <x:c r="A46" s="26" t="str">
        <x:v>C06</x:v>
      </x:c>
      <x:c r="B46" s="26" t="str">
        <x:v>C06.04</x:v>
      </x:c>
      <x:c r="C46" s="26" t="str">
        <x:v>CRM</x:v>
      </x:c>
      <x:c r="D46" s="26" t="str">
        <x:v>Não aprovação não gera também SERVICE_ORDER_CANCELLED.</x:v>
      </x:c>
      <x:c r="E46" s="26" t="str">
        <x:v>IMPLEMENTADO</x:v>
      </x:c>
      <x:c r="F46" s="26" t="str">
        <x:v>SIM</x:v>
      </x:c>
      <x:c r="G46" s="26" t="str">
        <x:v>COBERTO</x:v>
      </x:c>
      <x:c r="H46" s="26" t="str">
        <x:v>T041</x:v>
      </x:c>
      <x:c r="I46" s="26" t="str">
        <x:v>Rejeição não gera também SERVICE_ORDER_CANCELLED.</x:v>
      </x:c>
    </x:row>
    <x:row r="47">
      <x:c r="A47" s="26" t="str">
        <x:v>C06</x:v>
      </x:c>
      <x:c r="B47" s="26" t="str">
        <x:v>C06.05</x:v>
      </x:c>
      <x:c r="C47" s="26" t="str">
        <x:v>Idempotência</x:v>
      </x:c>
      <x:c r="D47" s="26" t="str">
        <x:v>Repetição da ação not-approved não duplica evento.</x:v>
      </x:c>
      <x:c r="E47" s="26" t="str">
        <x:v>IMPLEMENTADO</x:v>
      </x:c>
      <x:c r="F47" s="26" t="str">
        <x:v>SIM</x:v>
      </x:c>
      <x:c r="G47" s="26" t="str">
        <x:v>COBERTO</x:v>
      </x:c>
      <x:c r="H47" s="26" t="str">
        <x:v>T042</x:v>
      </x:c>
      <x:c r="I47" s="26" t="str">
        <x:v>Retry da rejeição não duplica evento NOT_APPROVED nem histórico.</x:v>
      </x:c>
    </x:row>
    <x:row r="48">
      <x:c r="A48" s="26" t="str">
        <x:v>C06</x:v>
      </x:c>
      <x:c r="B48" s="26" t="str">
        <x:v>C06.06</x:v>
      </x:c>
      <x:c r="C48" s="26" t="str">
        <x:v>Multi-tenant</x:v>
      </x:c>
      <x:c r="D48" s="26" t="str">
        <x:v>Outro Customer não executa decisão de orçamento em OS alheia; decisão rejeitada não pode ser revertida por esse fluxo.</x:v>
      </x:c>
      <x:c r="E48" s="26" t="str">
        <x:v>IMPLEMENTADO</x:v>
      </x:c>
      <x:c r="F48" s="26" t="str">
        <x:v>SIM</x:v>
      </x:c>
      <x:c r="G48" s="26" t="str">
        <x:v>COBERTO</x:v>
      </x:c>
      <x:c r="H48" s="26" t="str">
        <x:v>T044; T045</x:v>
      </x:c>
      <x:c r="I48" s="26" t="str">
        <x:v>Outro Customer não decide OS alheia; uma rejeição concluída não pode ser convertida posteriormente em aprovação.</x:v>
      </x:c>
    </x:row>
    <x:row r="49">
      <x:c r="A49" s="26" t="str">
        <x:v>C07</x:v>
      </x:c>
      <x:c r="B49" s="26" t="str">
        <x:v>C07.01</x:v>
      </x:c>
      <x:c r="C49" s="26" t="str">
        <x:v>State machine</x:v>
      </x:c>
      <x:c r="D49" s="26" t="str">
        <x:v>Transições válidas do ciclo de OS são aceitas.</x:v>
      </x:c>
      <x:c r="E49" s="26" t="str">
        <x:v>IMPLEMENTADO</x:v>
      </x:c>
      <x:c r="F49" s="26" t="str">
        <x:v>SIM</x:v>
      </x:c>
      <x:c r="G49" s="26" t="str">
        <x:v>COBERTO</x:v>
      </x:c>
      <x:c r="H49" s="26" t="str">
        <x:v>T009</x:v>
      </x:c>
      <x:c r="I49" s="26" t="str">
        <x:v>Transições válidas da state machine continuam cobertas.</x:v>
      </x:c>
    </x:row>
    <x:row r="50">
      <x:c r="A50" s="26" t="str">
        <x:v>C07</x:v>
      </x:c>
      <x:c r="B50" s="26" t="str">
        <x:v>C07.02</x:v>
      </x:c>
      <x:c r="C50" s="26" t="str">
        <x:v>State machine</x:v>
      </x:c>
      <x:c r="D50" s="26" t="str">
        <x:v>Saltos/regressões inválidos são rejeitados.</x:v>
      </x:c>
      <x:c r="E50" s="26" t="str">
        <x:v>IMPLEMENTADO</x:v>
      </x:c>
      <x:c r="F50" s="26" t="str">
        <x:v>SIM</x:v>
      </x:c>
      <x:c r="G50" s="26" t="str">
        <x:v>COBERTO</x:v>
      </x:c>
      <x:c r="H50" s="26" t="str">
        <x:v>T011</x:v>
      </x:c>
      <x:c r="I50" s="26" t="str">
        <x:v>Saltos e regressões inválidos continuam bloqueados.</x:v>
      </x:c>
    </x:row>
    <x:row r="51">
      <x:c r="A51" s="26" t="str">
        <x:v>C07</x:v>
      </x:c>
      <x:c r="B51" s="26" t="str">
        <x:v>C07.03</x:v>
      </x:c>
      <x:c r="C51" s="26" t="str">
        <x:v>CRM</x:v>
      </x:c>
      <x:c r="D51" s="26" t="str">
        <x:v>Estados operacionais não geram lifecycle event indevido.</x:v>
      </x:c>
      <x:c r="E51" s="26" t="str">
        <x:v>IMPLEMENTADO</x:v>
      </x:c>
      <x:c r="F51" s="26" t="str">
        <x:v>SIM</x:v>
      </x:c>
      <x:c r="G51" s="26" t="str">
        <x:v>COBERTO</x:v>
      </x:c>
      <x:c r="H51" s="26" t="str">
        <x:v>T008</x:v>
      </x:c>
      <x:c r="I51" s="26" t="str">
        <x:v>Estados operacionais não geram lifecycle CRM indevido.</x:v>
      </x:c>
    </x:row>
    <x:row r="52">
      <x:c r="A52" s="26" t="str">
        <x:v>C07</x:v>
      </x:c>
      <x:c r="B52" s="26" t="str">
        <x:v>C07.04</x:v>
      </x:c>
      <x:c r="C52" s="26" t="str">
        <x:v>CRM</x:v>
      </x:c>
      <x:c r="D52" s="26" t="str">
        <x:v>ENTREGUE gera SERVICE_ORDER_COMPLETED.</x:v>
      </x:c>
      <x:c r="E52" s="26" t="str">
        <x:v>IMPLEMENTADO</x:v>
      </x:c>
      <x:c r="F52" s="26" t="str">
        <x:v>SIM</x:v>
      </x:c>
      <x:c r="G52" s="26" t="str">
        <x:v>COBERTO</x:v>
      </x:c>
      <x:c r="H52" s="26" t="str">
        <x:v>T005; T048</x:v>
      </x:c>
      <x:c r="I52" s="26" t="str">
        <x:v>ENTREGUE gera exatamente um SERVICE_ORDER_COMPLETED.</x:v>
      </x:c>
    </x:row>
    <x:row r="53">
      <x:c r="A53" s="26" t="str">
        <x:v>C07</x:v>
      </x:c>
      <x:c r="B53" s="26" t="str">
        <x:v>C07.05</x:v>
      </x:c>
      <x:c r="C53" s="26" t="str">
        <x:v>Integração</x:v>
      </x:c>
      <x:c r="D53" s="26" t="str">
        <x:v>Fluxo real criação → diagnóstico → aprovação → execução → pronto → entregue funciona ponta a ponta.</x:v>
      </x:c>
      <x:c r="E53" s="26" t="str">
        <x:v>IMPLEMENTADO</x:v>
      </x:c>
      <x:c r="F53" s="26" t="str">
        <x:v>SIM</x:v>
      </x:c>
      <x:c r="G53" s="26" t="str">
        <x:v>COBERTO</x:v>
      </x:c>
      <x:c r="H53" s="26" t="str">
        <x:v>T046</x:v>
      </x:c>
      <x:c r="I53" s="26" t="str">
        <x:v>Fluxo API completo: criação → diagnóstico → aguardando aprovação → aprovação Customer → execução → pronto → entregue.</x:v>
      </x:c>
    </x:row>
    <x:row r="54">
      <x:c r="A54" s="26" t="str">
        <x:v>C07</x:v>
      </x:c>
      <x:c r="B54" s="26" t="str">
        <x:v>C07.06</x:v>
      </x:c>
      <x:c r="C54" s="26" t="str">
        <x:v>Atomicidade</x:v>
      </x:c>
      <x:c r="D54" s="26" t="str">
        <x:v>Mudança de status persiste histórico e efeitos CRM de forma consistente.</x:v>
      </x:c>
      <x:c r="E54" s="26" t="str">
        <x:v>IMPLEMENTADO</x:v>
      </x:c>
      <x:c r="F54" s="26" t="str">
        <x:v>SIM</x:v>
      </x:c>
      <x:c r="G54" s="26" t="str">
        <x:v>COBERTO</x:v>
      </x:c>
      <x:c r="H54" s="26" t="str">
        <x:v>T047; T048</x:v>
      </x:c>
      <x:c r="I54" s="26" t="str">
        <x:v>Histórico mantém ordem/ator corretos; retry de ENTREGUE não duplica histórico ou CRM.</x:v>
      </x:c>
    </x:row>
    <x:row r="55">
      <x:c r="A55" s="26" t="str">
        <x:v>C07</x:v>
      </x:c>
      <x:c r="B55" s="26" t="str">
        <x:v>C07.07</x:v>
      </x:c>
      <x:c r="C55" s="26" t="str">
        <x:v>Multi-tenant</x:v>
      </x:c>
      <x:c r="D55" s="26" t="str">
        <x:v>Organization B não consulta/altera/conclui OS da Organization A.</x:v>
      </x:c>
      <x:c r="E55" s="26" t="str">
        <x:v>IMPLEMENTADO</x:v>
      </x:c>
      <x:c r="F55" s="26" t="str">
        <x:v>SIM</x:v>
      </x:c>
      <x:c r="G55" s="26" t="str">
        <x:v>COBERTO</x:v>
      </x:c>
      <x:c r="H55" s="26" t="str">
        <x:v>T018; T023</x:v>
      </x:c>
      <x:c r="I55" s="26" t="str">
        <x:v>Isolamento de ServiceOrder e criação por Organization já validado transversalmente; fluxo completo permanece tenant-scoped.</x:v>
      </x:c>
    </x:row>
  </x:sheetData>
  <x:mergeCells>
    <x:mergeCell ref="A1:I1"/>
    <x:mergeCell ref="A2:I2"/>
  </x:mergeCells>
  <x:conditionalFormatting sqref="G5:G55">
    <x:cfRule type="expression" dxfId="0" priority="1">
      <x:formula>G5="COBERTO"</x:formula>
    </x:cfRule>
    <x:cfRule type="expression" dxfId="1" priority="2">
      <x:formula>G5="PENDENTE_TESTE"</x:formula>
    </x:cfRule>
    <x:cfRule type="expression" dxfId="2" priority="3">
      <x:formula>G5="PENDENTE_IMPLEMENTACAO"</x:formula>
    </x:cfRule>
    <x:cfRule type="expression" dxfId="3" priority="4">
      <x:formula>G5="DECISAO_PENDENTE"</x:formula>
    </x:cfRule>
  </x:conditionalFormatting>
  <x:dataValidations count="1">
    <x:dataValidation type="list" sqref="G5:G55">
      <x:formula1>"COBERTO,PENDENTE_TESTE,PENDENTE_IMPLEMENTACAO,DECISAO_PENDENTE,NAO_APLICAVEL"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2e96bd42444f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52" hidden="0" customWidth="1"/>
    <x:col min="4" max="4" width="16" hidden="0" customWidth="1"/>
    <x:col min="5" max="5" width="18" hidden="0" customWidth="1"/>
    <x:col min="6" max="6" width="12" hidden="0" customWidth="1"/>
    <x:col min="7" max="7" width="42" hidden="0" customWidth="1"/>
    <x:col min="8" max="8" width="38" hidden="0" customWidth="1"/>
  </x:cols>
  <x:sheetData>
    <x:row r="1">
      <x:c r="A1" s="5" t="str">
        <x:v>AssistAILab — Catálogo dos Testes Automatizados Atuais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Baseline confirmada em 21/08/2026: 48 testes, 11 suítes, 48 aprovados, 0 falhas.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ID</x:v>
      </x:c>
      <x:c r="B4" s="20" t="str">
        <x:v>Suíte</x:v>
      </x:c>
      <x:c r="C4" s="20" t="str">
        <x:v>Teste automatizado</x:v>
      </x:c>
      <x:c r="D4" s="20" t="str">
        <x:v>Cenário(s)</x:v>
      </x:c>
      <x:c r="E4" s="20" t="str">
        <x:v>Tipo</x:v>
      </x:c>
      <x:c r="F4" s="20" t="str">
        <x:v>Status</x:v>
      </x:c>
      <x:c r="G4" s="20" t="str">
        <x:v>Cobertura principal</x:v>
      </x:c>
      <x:c r="H4" s="20" t="str">
        <x:v>Observações</x:v>
      </x:c>
    </x:row>
    <x:row r="5">
      <x:c r="A5" s="26" t="str">
        <x:v>T001</x:v>
      </x:c>
      <x:c r="B5" s="26" t="str">
        <x:v>Auth Security &amp; Privilege Escalation Hardening</x:v>
      </x:c>
      <x:c r="C5" s="26" t="str">
        <x:v>Startup fails when JWT_SECRET is missing</x:v>
      </x:c>
      <x:c r="D5" s="26" t="str">
        <x:v>C01</x:v>
      </x:c>
      <x:c r="E5" s="26" t="str">
        <x:v>Segurança</x:v>
      </x:c>
      <x:c r="F5" s="26" t="str">
        <x:v>PASS</x:v>
      </x:c>
      <x:c r="G5" s="26" t="str">
        <x:v>Inicialização segura da autenticação</x:v>
      </x:c>
      <x:c r="H5" s="26" t="str">
        <x:v>Transversal à autenticação, associado ao C1.</x:v>
      </x:c>
    </x:row>
    <x:row r="6">
      <x:c r="A6" s="26" t="str">
        <x:v>T002</x:v>
      </x:c>
      <x:c r="B6" s="26" t="str">
        <x:v>Auth Security &amp; Privilege Escalation Hardening</x:v>
      </x:c>
      <x:c r="C6" s="26" t="str">
        <x:v>Public registration rejects role injection</x:v>
      </x:c>
      <x:c r="D6" s="26" t="str">
        <x:v>C01; C03</x:v>
      </x:c>
      <x:c r="E6" s="26" t="str">
        <x:v>Segurança</x:v>
      </x:c>
      <x:c r="F6" s="26" t="str">
        <x:v>PASS</x:v>
      </x:c>
      <x:c r="G6" s="26" t="str">
        <x:v>Impede escalada de privilégio no cadastro público</x:v>
      </x:c>
      <x:c r="H6" s="26" t="str">
        <x:v>Cobre C1/C3 parcialmente.</x:v>
      </x:c>
    </x:row>
    <x:row r="7">
      <x:c r="A7" s="26" t="str">
        <x:v>T003</x:v>
      </x:c>
      <x:c r="B7" s="26" t="str">
        <x:v>Auth Security &amp; Privilege Escalation Hardening</x:v>
      </x:c>
      <x:c r="C7" s="26" t="str">
        <x:v>Public registration requires a password</x:v>
      </x:c>
      <x:c r="D7" s="26" t="str">
        <x:v>C03</x:v>
      </x:c>
      <x:c r="E7" s="26" t="str">
        <x:v>Validação</x:v>
      </x:c>
      <x:c r="F7" s="26" t="str">
        <x:v>PASS</x:v>
      </x:c>
      <x:c r="G7" s="26" t="str">
        <x:v>Cadastro de cliente exige senha</x:v>
      </x:c>
      <x:c r="H7" s="26" t="str"/>
    </x:row>
    <x:row r="8">
      <x:c r="A8" s="26" t="str">
        <x:v>T004</x:v>
      </x:c>
      <x:c r="B8" s="26" t="str">
        <x:v>Auth Security &amp; Privilege Escalation Hardening</x:v>
      </x:c>
      <x:c r="C8" s="26" t="str">
        <x:v>Public registration accepts valid customer data</x:v>
      </x:c>
      <x:c r="D8" s="26" t="str">
        <x:v>C03</x:v>
      </x:c>
      <x:c r="E8" s="26" t="str">
        <x:v>Validação</x:v>
      </x:c>
      <x:c r="F8" s="26" t="str">
        <x:v>PASS</x:v>
      </x:c>
      <x:c r="G8" s="26" t="str">
        <x:v>Cadastro público válido de Customer</x:v>
      </x:c>
      <x:c r="H8" s="26" t="str"/>
    </x:row>
    <x:row r="9">
      <x:c r="A9" s="26" t="str">
        <x:v>T005</x:v>
      </x:c>
      <x:c r="B9" s="26" t="str">
        <x:v>Customer Relationship - Service Order Integration</x:v>
      </x:c>
      <x:c r="C9" s="26" t="str">
        <x:v>ENTREGUE maps to SERVICE_ORDER_COMPLETED</x:v>
      </x:c>
      <x:c r="D9" s="26" t="str">
        <x:v>C07</x:v>
      </x:c>
      <x:c r="E9" s="26" t="str">
        <x:v>Regra de negócio</x:v>
      </x:c>
      <x:c r="F9" s="26" t="str">
        <x:v>PASS</x:v>
      </x:c>
      <x:c r="G9" s="26" t="str">
        <x:v>Conclusão da OS gera evento CRM correto</x:v>
      </x:c>
      <x:c r="H9" s="26" t="str"/>
    </x:row>
    <x:row r="10">
      <x:c r="A10" s="26" t="str">
        <x:v>T006</x:v>
      </x:c>
      <x:c r="B10" s="26" t="str">
        <x:v>Customer Relationship - Service Order Integration</x:v>
      </x:c>
      <x:c r="C10" s="26" t="str">
        <x:v>CANCELADO maps to SERVICE_ORDER_CANCELLED</x:v>
      </x:c>
      <x:c r="D10" s="26" t="str">
        <x:v>C05</x:v>
      </x:c>
      <x:c r="E10" s="26" t="str">
        <x:v>Regra de negócio</x:v>
      </x:c>
      <x:c r="F10" s="26" t="str">
        <x:v>PASS</x:v>
      </x:c>
      <x:c r="G10" s="26" t="str">
        <x:v>Cancelamento gera evento CRM correto</x:v>
      </x:c>
      <x:c r="H10" s="26" t="str"/>
    </x:row>
    <x:row r="11">
      <x:c r="A11" s="26" t="str">
        <x:v>T007</x:v>
      </x:c>
      <x:c r="B11" s="26" t="str">
        <x:v>Customer Relationship - Service Order Integration</x:v>
      </x:c>
      <x:c r="C11" s="26" t="str">
        <x:v>AGUARDANDO_APROVACAO does not mean NOT_APPROVED</x:v>
      </x:c>
      <x:c r="D11" s="26" t="str">
        <x:v>C06</x:v>
      </x:c>
      <x:c r="E11" s="26" t="str">
        <x:v>Regra de negócio</x:v>
      </x:c>
      <x:c r="F11" s="26" t="str">
        <x:v>PASS</x:v>
      </x:c>
      <x:c r="G11" s="26" t="str">
        <x:v>Não aprovação é explícita e distinta de aguardando aprovação</x:v>
      </x:c>
      <x:c r="H11" s="26" t="str"/>
    </x:row>
    <x:row r="12">
      <x:c r="A12" s="26" t="str">
        <x:v>T008</x:v>
      </x:c>
      <x:c r="B12" s="26" t="str">
        <x:v>Customer Relationship - Service Order Integration</x:v>
      </x:c>
      <x:c r="C12" s="26" t="str">
        <x:v>operational states do not generate CRM lifecycle events</x:v>
      </x:c>
      <x:c r="D12" s="26" t="str">
        <x:v>C02; C07</x:v>
      </x:c>
      <x:c r="E12" s="26" t="str">
        <x:v>Regra de negócio</x:v>
      </x:c>
      <x:c r="F12" s="26" t="str">
        <x:v>PASS</x:v>
      </x:c>
      <x:c r="G12" s="26" t="str">
        <x:v>Estados operacionais não criam eventos CRM indevidos</x:v>
      </x:c>
      <x:c r="H12" s="26" t="str"/>
    </x:row>
    <x:row r="13">
      <x:c r="A13" s="26" t="str">
        <x:v>T009</x:v>
      </x:c>
      <x:c r="B13" s="26" t="str">
        <x:v>Service Order State Machine Hardening</x:v>
      </x:c>
      <x:c r="C13" s="26" t="str">
        <x:v>Valid state transitions pass</x:v>
      </x:c>
      <x:c r="D13" s="26" t="str">
        <x:v>C07</x:v>
      </x:c>
      <x:c r="E13" s="26" t="str">
        <x:v>State machine</x:v>
      </x:c>
      <x:c r="F13" s="26" t="str">
        <x:v>PASS</x:v>
      </x:c>
      <x:c r="G13" s="26" t="str">
        <x:v>Transições válidas de OS</x:v>
      </x:c>
      <x:c r="H13" s="26" t="str"/>
    </x:row>
    <x:row r="14">
      <x:c r="A14" s="26" t="str">
        <x:v>T010</x:v>
      </x:c>
      <x:c r="B14" s="26" t="str">
        <x:v>Service Order State Machine Hardening</x:v>
      </x:c>
      <x:c r="C14" s="26" t="str">
        <x:v>Cancellation from valid states is allowed</x:v>
      </x:c>
      <x:c r="D14" s="26" t="str">
        <x:v>C05</x:v>
      </x:c>
      <x:c r="E14" s="26" t="str">
        <x:v>State machine</x:v>
      </x:c>
      <x:c r="F14" s="26" t="str">
        <x:v>PASS</x:v>
      </x:c>
      <x:c r="G14" s="26" t="str">
        <x:v>Cancelamento permitido a partir de estados válidos</x:v>
      </x:c>
      <x:c r="H14" s="26" t="str"/>
    </x:row>
    <x:row r="15">
      <x:c r="A15" s="26" t="str">
        <x:v>T011</x:v>
      </x:c>
      <x:c r="B15" s="26" t="str">
        <x:v>Service Order State Machine Hardening</x:v>
      </x:c>
      <x:c r="C15" s="26" t="str">
        <x:v>Invalid backward or skipped transitions are rejected</x:v>
      </x:c>
      <x:c r="D15" s="26" t="str">
        <x:v>C07</x:v>
      </x:c>
      <x:c r="E15" s="26" t="str">
        <x:v>State machine</x:v>
      </x:c>
      <x:c r="F15" s="26" t="str">
        <x:v>PASS</x:v>
      </x:c>
      <x:c r="G15" s="26" t="str">
        <x:v>Bloqueia regressões e saltos inválidos de status</x:v>
      </x:c>
      <x:c r="H15" s="26" t="str"/>
    </x:row>
    <x:row r="16">
      <x:c r="A16" s="26" t="str">
        <x:v>T012</x:v>
      </x:c>
      <x:c r="B16" s="26" t="str">
        <x:v>Sync Engine &amp; Idempotency Hardening</x:v>
      </x:c>
      <x:c r="C16" s="26" t="str">
        <x:v>computePayloadHash generates deterministic SHA-256 string</x:v>
      </x:c>
      <x:c r="D16" s="26" t="str">
        <x:v>TRANSVERSAL</x:v>
      </x:c>
      <x:c r="E16" s="26" t="str">
        <x:v>Infraestrutura</x:v>
      </x:c>
      <x:c r="F16" s="26" t="str">
        <x:v>PASS</x:v>
      </x:c>
      <x:c r="G16" s="26" t="str">
        <x:v>Idempotência do Sync</x:v>
      </x:c>
      <x:c r="H16" s="26" t="str">
        <x:v>Não é cobertura direta de um dos 7 cenários.</x:v>
      </x:c>
    </x:row>
    <x:row r="17">
      <x:c r="A17" t="str">
        <x:v>T013</x:v>
      </x:c>
      <x:c r="B17" t="str">
        <x:v>C1 - Organization Authentication &amp; Tenant Isolation</x:v>
      </x:c>
      <x:c r="C17" t="str">
        <x:v>ADMIN has a persisted Organization and Membership before authentication</x:v>
      </x:c>
      <x:c r="D17" t="str">
        <x:v>C01</x:v>
      </x:c>
      <x:c r="E17" t="str">
        <x:v>Integração</x:v>
      </x:c>
      <x:c r="F17" t="str">
        <x:v>PASS</x:v>
      </x:c>
      <x:c r="G17" t="str">
        <x:v>Organization persistida e Membership válida antes da autenticação</x:v>
      </x:c>
      <x:c r="H17" t="str">
        <x:v>Cobre C01.03 e parte de C01.04.</x:v>
      </x:c>
    </x:row>
    <x:row r="18">
      <x:c r="A18" t="str">
        <x:v>T014</x:v>
      </x:c>
      <x:c r="B18" t="str">
        <x:v>C1 - Organization Authentication &amp; Tenant Isolation</x:v>
      </x:c>
      <x:c r="C18" t="str">
        <x:v>valid ADMIN login returns JWT with role and organizationId derived from Membership</x:v>
      </x:c>
      <x:c r="D18" t="str">
        <x:v>C01</x:v>
      </x:c>
      <x:c r="E18" t="str">
        <x:v>Integração / Segurança</x:v>
      </x:c>
      <x:c r="F18" t="str">
        <x:v>PASS</x:v>
      </x:c>
      <x:c r="G18" t="str">
        <x:v>Login válido e contexto JWT derivado da Membership</x:v>
      </x:c>
      <x:c r="H18" t="str">
        <x:v>Cobre C01.05.</x:v>
      </x:c>
    </x:row>
    <x:row r="19">
      <x:c r="A19" t="str">
        <x:v>T015</x:v>
      </x:c>
      <x:c r="B19" t="str">
        <x:v>C1 - Organization Authentication &amp; Tenant Isolation</x:v>
      </x:c>
      <x:c r="C19" t="str">
        <x:v>invalid password is rejected</x:v>
      </x:c>
      <x:c r="D19" t="str">
        <x:v>C01</x:v>
      </x:c>
      <x:c r="E19" t="str">
        <x:v>Integração / Segurança</x:v>
      </x:c>
      <x:c r="F19" t="str">
        <x:v>PASS</x:v>
      </x:c>
      <x:c r="G19" t="str">
        <x:v>Credenciais inválidas são rejeitadas</x:v>
      </x:c>
      <x:c r="H19" t="str">
        <x:v>Cobre C01.06.</x:v>
      </x:c>
    </x:row>
    <x:row r="20">
      <x:c r="A20" t="str">
        <x:v>T016</x:v>
      </x:c>
      <x:c r="B20" t="str">
        <x:v>C1 - Organization Authentication &amp; Tenant Isolation</x:v>
      </x:c>
      <x:c r="C20" t="str">
        <x:v>ACTIVE user without Membership cannot authenticate into an organization context</x:v>
      </x:c>
      <x:c r="D20" t="str">
        <x:v>C01</x:v>
      </x:c>
      <x:c r="E20" t="str">
        <x:v>Integração / Segurança</x:v>
      </x:c>
      <x:c r="F20" t="str">
        <x:v>PASS</x:v>
      </x:c>
      <x:c r="G20" t="str">
        <x:v>Usuário ACTIVE sem Membership não recebe contexto organizacional</x:v>
      </x:c>
      <x:c r="H20" t="str">
        <x:v>Complementa C01.04.</x:v>
      </x:c>
    </x:row>
    <x:row r="21">
      <x:c r="A21" t="str">
        <x:v>T017</x:v>
      </x:c>
      <x:c r="B21" t="str">
        <x:v>C1 - Organization Authentication &amp; Tenant Isolation</x:v>
      </x:c>
      <x:c r="C21" t="str">
        <x:v>/auth/me returns the authenticated user with the correct organizational Membership</x:v>
      </x:c>
      <x:c r="D21" t="str">
        <x:v>C01</x:v>
      </x:c>
      <x:c r="E21" t="str">
        <x:v>Integração</x:v>
      </x:c>
      <x:c r="F21" t="str">
        <x:v>PASS</x:v>
      </x:c>
      <x:c r="G21" t="str">
        <x:v>/auth/me retorna identidade, role e Membership corretas</x:v>
      </x:c>
      <x:c r="H21" t="str">
        <x:v>Cobre C01.07.</x:v>
      </x:c>
    </x:row>
    <x:row r="22">
      <x:c r="A22" t="str">
        <x:v>T018</x:v>
      </x:c>
      <x:c r="B22" t="str">
        <x:v>C1 - Organization Authentication &amp; Tenant Isolation</x:v>
      </x:c>
      <x:c r="C22" t="str">
        <x:v>Organization A cannot access a Service Order owned by Organization B</x:v>
      </x:c>
      <x:c r="D22" t="str">
        <x:v>C01</x:v>
      </x:c>
      <x:c r="E22" t="str">
        <x:v>Integração / Multi-tenant</x:v>
      </x:c>
      <x:c r="F22" t="str">
        <x:v>PASS</x:v>
      </x:c>
      <x:c r="G22" t="str">
        <x:v>Isolamento: Organization A não acessa recurso protegido da B</x:v>
      </x:c>
      <x:c r="H22" t="str">
        <x:v>Cobre C01.08.</x:v>
      </x:c>
    </x:row>
    <x:row r="23">
      <x:c r="A23" t="str">
        <x:v>T019</x:v>
      </x:c>
      <x:c r="B23" t="str">
        <x:v>C1 - Organization Authentication &amp; Tenant Isolation</x:v>
      </x:c>
      <x:c r="C23" t="str">
        <x:v>Organization B can access its own Service Order</x:v>
      </x:c>
      <x:c r="D23" t="str">
        <x:v>C01</x:v>
      </x:c>
      <x:c r="E23" t="str">
        <x:v>Integração / Multi-tenant</x:v>
      </x:c>
      <x:c r="F23" t="str">
        <x:v>PASS</x:v>
      </x:c>
      <x:c r="G23" t="str">
        <x:v>Contraprova: Organization B acessa sua própria OS</x:v>
      </x:c>
      <x:c r="H23" t="str">
        <x:v>Complementa C01.08 e prova existência do recurso.</x:v>
      </x:c>
    </x:row>
    <x:row r="24">
      <x:c r="A24" t="str">
        <x:v>T020</x:v>
      </x:c>
      <x:c r="B24" t="str">
        <x:v>C2 - Customer Equipment &amp; Service Order Integration</x:v>
      </x:c>
      <x:c r="C24" t="str">
        <x:v>ACTIVE customer can open separate Service Orders for Notebook and Cellphone in the authenticated Organization</x:v>
      </x:c>
      <x:c r="D24" t="str">
        <x:v>C02</x:v>
      </x:c>
      <x:c r="E24" t="str">
        <x:v>Integração</x:v>
      </x:c>
      <x:c r="F24" t="str">
        <x:v>PASS</x:v>
      </x:c>
      <x:c r="G24" t="str">
        <x:v>Customer ACTIVE; OS coerentes para Notebook e Celular na Organization autenticada</x:v>
      </x:c>
      <x:c r="H24" t="str">
        <x:v>Cobre C02.01, C02.03 e C02.08.</x:v>
      </x:c>
    </x:row>
    <x:row r="25">
      <x:c r="A25" t="str">
        <x:v>T021</x:v>
      </x:c>
      <x:c r="B25" t="str">
        <x:v>C2 - Customer Equipment &amp; Service Order Integration</x:v>
      </x:c>
      <x:c r="C25" t="str">
        <x:v>BLOCKED CustomerOrganization cannot open a Service Order</x:v>
      </x:c>
      <x:c r="D25" t="str">
        <x:v>C02</x:v>
      </x:c>
      <x:c r="E25" t="str">
        <x:v>Integração / Segurança</x:v>
      </x:c>
      <x:c r="F25" t="str">
        <x:v>PASS</x:v>
      </x:c>
      <x:c r="G25" t="str">
        <x:v>Relacionamento BLOCKED impede criação de OS</x:v>
      </x:c>
      <x:c r="H25" t="str">
        <x:v>Complementa C02.01.</x:v>
      </x:c>
    </x:row>
    <x:row r="26">
      <x:c r="A26" t="str">
        <x:v>T022</x:v>
      </x:c>
      <x:c r="B26" t="str">
        <x:v>C2 - Customer Equipment &amp; Service Order Integration</x:v>
      </x:c>
      <x:c r="C26" t="str">
        <x:v>Service Order rejects Equipment that belongs to another Customer</x:v>
      </x:c>
      <x:c r="D26" t="str">
        <x:v>C02</x:v>
      </x:c>
      <x:c r="E26" t="str">
        <x:v>Integração / Segurança</x:v>
      </x:c>
      <x:c r="F26" t="str">
        <x:v>PASS</x:v>
      </x:c>
      <x:c r="G26" t="str">
        <x:v>Impede OS com Customer e Equipment incompatíveis</x:v>
      </x:c>
      <x:c r="H26" t="str">
        <x:v>Cobre C02.02.</x:v>
      </x:c>
    </x:row>
    <x:row r="27">
      <x:c r="A27" t="str">
        <x:v>T023</x:v>
      </x:c>
      <x:c r="B27" t="str">
        <x:v>C2 - Customer Equipment &amp; Service Order Integration</x:v>
      </x:c>
      <x:c r="C27" t="str">
        <x:v>Organization B cannot create a Service Order for Customer belonging only to Organization A</x:v>
      </x:c>
      <x:c r="D27" t="str">
        <x:v>C02</x:v>
      </x:c>
      <x:c r="E27" t="str">
        <x:v>Integração / Multi-tenant</x:v>
      </x:c>
      <x:c r="F27" t="str">
        <x:v>PASS</x:v>
      </x:c>
      <x:c r="G27" t="str">
        <x:v>Organization não cria OS para Customer fora do próprio relacionamento</x:v>
      </x:c>
      <x:c r="H27" t="str">
        <x:v>Cobre C02.07.</x:v>
      </x:c>
    </x:row>
    <x:row r="28">
      <x:c r="A28" t="str">
        <x:v>T024</x:v>
      </x:c>
      <x:c r="B28" t="str">
        <x:v>C2 - Customer Equipment &amp; Service Order Integration</x:v>
      </x:c>
      <x:c r="C28" t="str">
        <x:v>CustomerOrganization alone does not grant Equipment access and first service creates Equipment with the Service Order</x:v>
      </x:c>
      <x:c r="D28" t="str">
        <x:v>C02</x:v>
      </x:c>
      <x:c r="E28" t="str">
        <x:v>Integração / Multi-tenant</x:v>
      </x:c>
      <x:c r="F28" t="str">
        <x:v>PASS</x:v>
      </x:c>
      <x:c r="G28" t="str">
        <x:v>CustomerOrganization não libera Equipment; primeiro atendimento cria Equipment + OS e concede visibilidade via OS</x:v>
      </x:c>
      <x:c r="H28" t="str">
        <x:v>Cobre C02.03, C02.04 e C02.05.</x:v>
      </x:c>
    </x:row>
    <x:row r="29">
      <x:c r="A29" t="str">
        <x:v>T025</x:v>
      </x:c>
      <x:c r="B29" t="str">
        <x:v>C2 - Customer Equipment &amp; Service Order Integration</x:v>
      </x:c>
      <x:c r="C29" t="str">
        <x:v>Internal staff cannot register standalone Customer Equipment outside Service Order flow</x:v>
      </x:c>
      <x:c r="D29" t="str">
        <x:v>C02</x:v>
      </x:c>
      <x:c r="E29" t="str">
        <x:v>Integração / Segurança</x:v>
      </x:c>
      <x:c r="F29" t="str">
        <x:v>PASS</x:v>
      </x:c>
      <x:c r="G29" t="str">
        <x:v>Bloqueia Equipment CUSTOMER órfão fora do fluxo de Service Order</x:v>
      </x:c>
      <x:c r="H29" t="str">
        <x:v>Reforça C02.04/C02.05 e o fluxo aprovado.</x:v>
      </x:c>
    </x:row>
    <x:row r="30">
      <x:c r="A30" t="str">
        <x:v>T026</x:v>
      </x:c>
      <x:c r="B30" t="str">
        <x:v>C3 - Customer Onboarding, Authentication &amp; Global Service Order History</x:v>
      </x:c>
      <x:c r="C30" t="str">
        <x:v>Customer onboarding claim activates an account for the Customer resolved from the Service Order</x:v>
      </x:c>
      <x:c r="D30" t="str">
        <x:v>C03</x:v>
      </x:c>
      <x:c r="E30" t="str">
        <x:v>Integração / Segurança</x:v>
      </x:c>
      <x:c r="F30" t="str">
        <x:v>PASS</x:v>
      </x:c>
      <x:c r="G30" t="str">
        <x:v>Onboarding/claim por OS cria/ativa User CUSTOMER sem confiar em customerId do client</x:v>
      </x:c>
      <x:c r="H30" t="str">
        <x:v>Cobre C03.04; AccessGrant passa para USED e não pode ser reutilizado.</x:v>
      </x:c>
    </x:row>
    <x:row r="31">
      <x:c r="A31" t="str">
        <x:v>T027</x:v>
      </x:c>
      <x:c r="B31" t="str">
        <x:v>C3 - Customer Onboarding, Authentication &amp; Global Service Order History</x:v>
      </x:c>
      <x:c r="C31" t="str">
        <x:v>ACTIVE CUSTOMER can authenticate without Membership and receives a global Customer JWT</x:v>
      </x:c>
      <x:c r="D31" t="str">
        <x:v>C03</x:v>
      </x:c>
      <x:c r="E31" t="str">
        <x:v>Integração / Auth</x:v>
      </x:c>
      <x:c r="F31" t="str">
        <x:v>PASS</x:v>
      </x:c>
      <x:c r="G31" t="str">
        <x:v>CUSTOMER autentica por identidade global customerId, com organizationId = null</x:v>
      </x:c>
      <x:c r="H31" t="str">
        <x:v>Cobre C03.05.</x:v>
      </x:c>
    </x:row>
    <x:row r="32">
      <x:c r="A32" t="str">
        <x:v>T028</x:v>
      </x:c>
      <x:c r="B32" t="str">
        <x:v>C3 - Customer Onboarding, Authentication &amp; Global Service Order History</x:v>
      </x:c>
      <x:c r="C32" t="str">
        <x:v>CUSTOMER can access own Service Order but cannot access another Customer Service Order</x:v>
      </x:c>
      <x:c r="D32" t="str">
        <x:v>C03</x:v>
      </x:c>
      <x:c r="E32" t="str">
        <x:v>Integração / Segurança</x:v>
      </x:c>
      <x:c r="F32" t="str">
        <x:v>PASS</x:v>
      </x:c>
      <x:c r="G32" t="str">
        <x:v>Autorização por customerId; OS de outro Customer não é revelada</x:v>
      </x:c>
      <x:c r="H32" t="str">
        <x:v>Cobre C03.06.</x:v>
      </x:c>
    </x:row>
    <x:row r="33">
      <x:c r="A33" t="str">
        <x:v>T029</x:v>
      </x:c>
      <x:c r="B33" t="str">
        <x:v>C3 - Customer Onboarding, Authentication &amp; Global Service Order History</x:v>
      </x:c>
      <x:c r="C33" t="str">
        <x:v>CUSTOMER global history returns own Service Orders from multiple Organizations only</x:v>
      </x:c>
      <x:c r="D33" t="str">
        <x:v>C03</x:v>
      </x:c>
      <x:c r="E33" t="str">
        <x:v>Integração / Multi-tenant</x:v>
      </x:c>
      <x:c r="F33" t="str">
        <x:v>PASS</x:v>
      </x:c>
      <x:c r="G33" t="str">
        <x:v>Histórico REST global retorna próprias OS de múltiplas Organizations</x:v>
      </x:c>
      <x:c r="H33" t="str">
        <x:v>Cobre C03.07.</x:v>
      </x:c>
    </x:row>
    <x:row r="34">
      <x:c r="A34" t="str">
        <x:v>T030</x:v>
      </x:c>
      <x:c r="B34" t="str">
        <x:v>Sync Engine &amp; Idempotency Hardening</x:v>
      </x:c>
      <x:c r="C34" t="str">
        <x:v>CUSTOMER Sync Pull returns own Service Orders from multiple Organizations and excludes other Customers</x:v>
      </x:c>
      <x:c r="D34" t="str">
        <x:v>C03</x:v>
      </x:c>
      <x:c r="E34" t="str">
        <x:v>Integração / Sync / Offline-first</x:v>
      </x:c>
      <x:c r="F34" t="str">
        <x:v>PASS</x:v>
      </x:c>
      <x:c r="G34" t="str">
        <x:v>Sync Pull replica a visão global por customerId e exclui dados de outros Customers</x:v>
      </x:c>
      <x:c r="H34" t="str">
        <x:v>Cobre C03.07 no fluxo offline-first.</x:v>
      </x:c>
    </x:row>
    <x:row r="35">
      <x:c r="A35" t="str">
        <x:v>T031</x:v>
      </x:c>
      <x:c r="B35" t="str">
        <x:v>C4 - Equipment Acquisition &amp; Ownership Transfer</x:v>
      </x:c>
      <x:c r="C35" t="str">
        <x:v>Organization creates a RESALE proposal without transferring ownership and cannot complete it while PENDING</x:v>
      </x:c>
      <x:c r="D35" t="str">
        <x:v>C04</x:v>
      </x:c>
      <x:c r="E35" t="str">
        <x:v>Integração / Ownership</x:v>
      </x:c>
      <x:c r="F35" t="str">
        <x:v>PASS</x:v>
      </x:c>
      <x:c r="G35" t="str">
        <x:v>Proposta PENDING não transfere propriedade; conclusão prematura é bloqueada</x:v>
      </x:c>
      <x:c r="H35" t="str">
        <x:v>Cobre C04.01 e C04.03.</x:v>
      </x:c>
    </x:row>
    <x:row r="36">
      <x:c r="A36" t="str">
        <x:v>T032</x:v>
      </x:c>
      <x:c r="B36" t="str">
        <x:v>C4 - Equipment Acquisition &amp; Ownership Transfer</x:v>
      </x:c>
      <x:c r="C36" t="str">
        <x:v>Acquisition proposal distinguishes PARTS_DONOR from RESALE</x:v>
      </x:c>
      <x:c r="D36" t="str">
        <x:v>C04</x:v>
      </x:c>
      <x:c r="E36" t="str">
        <x:v>Regra de negócio</x:v>
      </x:c>
      <x:c r="F36" t="str">
        <x:v>PASS</x:v>
      </x:c>
      <x:c r="G36" t="str">
        <x:v>Diferencia e persiste finalidade PARTS_DONOR versus RESALE</x:v>
      </x:c>
      <x:c r="H36" t="str">
        <x:v>Cobre C04.02.</x:v>
      </x:c>
    </x:row>
    <x:row r="37">
      <x:c r="A37" t="str">
        <x:v>T033</x:v>
      </x:c>
      <x:c r="B37" t="str">
        <x:v>C4 - Equipment Acquisition &amp; Ownership Transfer</x:v>
      </x:c>
      <x:c r="C37" t="str">
        <x:v>Customer authorizes the presented acquisition and backend records immutable consent evidence</x:v>
      </x:c>
      <x:c r="D37" t="str">
        <x:v>C04</x:v>
      </x:c>
      <x:c r="E37" t="str">
        <x:v>Integração / Segurança</x:v>
      </x:c>
      <x:c r="F37" t="str">
        <x:v>PASS</x:v>
      </x:c>
      <x:c r="G37" t="str">
        <x:v>Customer autoriza proposta; backend registra consentMethod, snapshot e hash</x:v>
      </x:c>
      <x:c r="H37" t="str">
        <x:v>Cobre autorização em C04.04.</x:v>
      </x:c>
    </x:row>
    <x:row r="38">
      <x:c r="A38" t="str">
        <x:v>T034</x:v>
      </x:c>
      <x:c r="B38" t="str">
        <x:v>C4 - Equipment Acquisition &amp; Ownership Transfer</x:v>
      </x:c>
      <x:c r="C38" t="str">
        <x:v>Customer can reject a pending acquisition and rejected proposal never transfers ownership</x:v>
      </x:c>
      <x:c r="D38" t="str">
        <x:v>C04</x:v>
      </x:c>
      <x:c r="E38" t="str">
        <x:v>Integração / Segurança</x:v>
      </x:c>
      <x:c r="F38" t="str">
        <x:v>PASS</x:v>
      </x:c>
      <x:c r="G38" t="str">
        <x:v>Customer rejeita proposta e Equipment permanece CUSTOMER</x:v>
      </x:c>
      <x:c r="H38" t="str">
        <x:v>Cobre rejeição em C04.04.</x:v>
      </x:c>
    </x:row>
    <x:row r="39">
      <x:c r="A39" t="str">
        <x:v>T035</x:v>
      </x:c>
      <x:c r="B39" t="str">
        <x:v>C4 - Equipment Acquisition &amp; Ownership Transfer</x:v>
      </x:c>
      <x:c r="C39" t="str">
        <x:v>Completing an AUTHORIZED acquisition transfers Equipment ownership to the Organization and grants direct access</x:v>
      </x:c>
      <x:c r="D39" t="str">
        <x:v>C04</x:v>
      </x:c>
      <x:c r="E39" t="str">
        <x:v>Integração / Ownership</x:v>
      </x:c>
      <x:c r="F39" t="str">
        <x:v>PASS</x:v>
      </x:c>
      <x:c r="G39" t="str">
        <x:v>COMPLETED transfere ownership e concede acesso direto à Organization proprietária</x:v>
      </x:c>
      <x:c r="H39" t="str">
        <x:v>Cobre C04.05 e C04.06.</x:v>
      </x:c>
    </x:row>
    <x:row r="40">
      <x:c r="A40" t="str">
        <x:v>T036</x:v>
      </x:c>
      <x:c r="B40" t="str">
        <x:v>C4 - Equipment Acquisition &amp; Ownership Transfer</x:v>
      </x:c>
      <x:c r="C40" t="str">
        <x:v>Another Organization cannot access the acquisition or the Equipment acquired by Organization A</x:v>
      </x:c>
      <x:c r="D40" t="str">
        <x:v>C04</x:v>
      </x:c>
      <x:c r="E40" t="str">
        <x:v>Integração / Multi-tenant</x:v>
      </x:c>
      <x:c r="F40" t="str">
        <x:v>PASS</x:v>
      </x:c>
      <x:c r="G40" t="str">
        <x:v>Isolamento entre Organizations após aquisição</x:v>
      </x:c>
      <x:c r="H40" t="str">
        <x:v>Cobre C04.07.</x:v>
      </x:c>
    </x:row>
    <x:row r="41">
      <x:c r="A41" t="str">
        <x:v>T037</x:v>
      </x:c>
      <x:c r="B41" t="str">
        <x:v>Sync Engine &amp; Idempotency Hardening</x:v>
      </x:c>
      <x:c r="C41" t="str">
        <x:v>generic Equipment Sync cannot transfer CUSTOMER ownership to an Organization</x:v>
      </x:c>
      <x:c r="D41" t="str">
        <x:v>C04</x:v>
      </x:c>
      <x:c r="E41" t="str">
        <x:v>Segurança / Sync</x:v>
      </x:c>
      <x:c r="F41" t="str">
        <x:v>PASS</x:v>
      </x:c>
      <x:c r="G41" t="str">
        <x:v>Sync genérico não pode injetar ownership, organizationId ou purpose</x:v>
      </x:c>
      <x:c r="H41" t="str">
        <x:v>Cobre C04.08.</x:v>
      </x:c>
    </x:row>
    <x:row r="42">
      <x:c r="A42" t="str">
        <x:v>T038</x:v>
      </x:c>
      <x:c r="B42" t="str">
        <x:v>C5 - Customer Cancellation &amp; Equipment Return</x:v>
      </x:c>
      <x:c r="C42" t="str">
        <x:v>CUSTOMER cancels own Service Order and explicitly requests Equipment return</x:v>
      </x:c>
      <x:c r="D42" t="str">
        <x:v>C05</x:v>
      </x:c>
      <x:c r="E42" t="str">
        <x:v>Integração / CRM</x:v>
      </x:c>
      <x:c r="F42" t="str">
        <x:v>PASS</x:v>
      </x:c>
      <x:c r="G42" t="str">
        <x:v>Cancelamento do próprio Customer persiste status, histórico, CRM e pedido de devolução</x:v>
      </x:c>
      <x:c r="H42" t="str">
        <x:v>Cobre C05.02, C05.03 e parte de C05.05.</x:v>
      </x:c>
    </x:row>
    <x:row r="43">
      <x:c r="A43" t="str">
        <x:v>T039</x:v>
      </x:c>
      <x:c r="B43" t="str">
        <x:v>C5 - Customer Cancellation &amp; Equipment Return</x:v>
      </x:c>
      <x:c r="C43" t="str">
        <x:v>CUSTOMER cancellation-return request is idempotent and another Customer receives 404</x:v>
      </x:c>
      <x:c r="D43" t="str">
        <x:v>C05</x:v>
      </x:c>
      <x:c r="E43" t="str">
        <x:v>Integração / Segurança</x:v>
      </x:c>
      <x:c r="F43" t="str">
        <x:v>PASS</x:v>
      </x:c>
      <x:c r="G43" t="str">
        <x:v>Retry não duplica efeitos e outro Customer não acessa a ação</x:v>
      </x:c>
      <x:c r="H43" t="str">
        <x:v>Cobre C05.03 e C05.04.</x:v>
      </x:c>
    </x:row>
    <x:row r="44">
      <x:c r="A44" t="str">
        <x:v>T040</x:v>
      </x:c>
      <x:c r="B44" t="str">
        <x:v>C5 - Customer Cancellation &amp; Equipment Return</x:v>
      </x:c>
      <x:c r="C44" t="str">
        <x:v>staff confirms physical Equipment return idempotently and ownership remains with the Customer</x:v>
      </x:c>
      <x:c r="D44" t="str">
        <x:v>C05</x:v>
      </x:c>
      <x:c r="E44" t="str">
        <x:v>Integração / Devolução</x:v>
      </x:c>
      <x:c r="F44" t="str">
        <x:v>PASS</x:v>
      </x:c>
      <x:c r="G44" t="str">
        <x:v>Confirmação física é idempotente e não transfere ownership</x:v>
      </x:c>
      <x:c r="H44" t="str">
        <x:v>Cobre C05.05.</x:v>
      </x:c>
    </x:row>
    <x:row r="45">
      <x:c r="A45" t="str">
        <x:v>T041</x:v>
      </x:c>
      <x:c r="B45" t="str">
        <x:v>C6 - Customer Quote Rejection</x:v>
      </x:c>
      <x:c r="C45" t="str">
        <x:v>CUSTOMER explicitly rejects own quote and creates NOT_APPROVED without generic CANCELLED CRM event</x:v>
      </x:c>
      <x:c r="D45" t="str">
        <x:v>C06</x:v>
      </x:c>
      <x:c r="E45" t="str">
        <x:v>Integração / CRM</x:v>
      </x:c>
      <x:c r="F45" t="str">
        <x:v>PASS</x:v>
      </x:c>
      <x:c r="G45" t="str">
        <x:v>Rejeição explícita gera NOT_APPROVED sem CANCELLED genérico</x:v>
      </x:c>
      <x:c r="H45" t="str">
        <x:v>Cobre C06.02, C06.03 e C06.04.</x:v>
      </x:c>
    </x:row>
    <x:row r="46">
      <x:c r="A46" t="str">
        <x:v>T042</x:v>
      </x:c>
      <x:c r="B46" t="str">
        <x:v>C6 - Customer Quote Rejection</x:v>
      </x:c>
      <x:c r="C46" t="str">
        <x:v>quote rejection is idempotent and does not duplicate NOT_APPROVED event or status history</x:v>
      </x:c>
      <x:c r="D46" t="str">
        <x:v>C06</x:v>
      </x:c>
      <x:c r="E46" t="str">
        <x:v>Integração / Idempotência</x:v>
      </x:c>
      <x:c r="F46" t="str">
        <x:v>PASS</x:v>
      </x:c>
      <x:c r="G46" t="str">
        <x:v>Retry da rejeição não duplica CRM nem histórico</x:v>
      </x:c>
      <x:c r="H46" t="str">
        <x:v>Cobre C06.05.</x:v>
      </x:c>
    </x:row>
    <x:row r="47">
      <x:c r="A47" t="str">
        <x:v>T043</x:v>
      </x:c>
      <x:c r="B47" t="str">
        <x:v>C6 - Customer Quote Rejection</x:v>
      </x:c>
      <x:c r="C47" t="str">
        <x:v>CUSTOMER cannot reject a quote when Service Order is not awaiting approval</x:v>
      </x:c>
      <x:c r="D47" t="str">
        <x:v>C06</x:v>
      </x:c>
      <x:c r="E47" t="str">
        <x:v>Regra de negócio</x:v>
      </x:c>
      <x:c r="F47" t="str">
        <x:v>PASS</x:v>
      </x:c>
      <x:c r="G47" t="str">
        <x:v>REJECT só é aceito em AGUARDANDO_APROVACAO</x:v>
      </x:c>
      <x:c r="H47" t="str">
        <x:v>Complementa C06.02.</x:v>
      </x:c>
    </x:row>
    <x:row r="48">
      <x:c r="A48" t="str">
        <x:v>T044</x:v>
      </x:c>
      <x:c r="B48" t="str">
        <x:v>C6 - Customer Quote Rejection</x:v>
      </x:c>
      <x:c r="C48" t="str">
        <x:v>another CUSTOMER cannot reject someone else Service Order</x:v>
      </x:c>
      <x:c r="D48" t="str">
        <x:v>C06</x:v>
      </x:c>
      <x:c r="E48" t="str">
        <x:v>Integração / Segurança</x:v>
      </x:c>
      <x:c r="F48" t="str">
        <x:v>PASS</x:v>
      </x:c>
      <x:c r="G48" t="str">
        <x:v>Outro Customer recebe 404 ao decidir OS alheia</x:v>
      </x:c>
      <x:c r="H48" t="str">
        <x:v>Cobre C06.06.</x:v>
      </x:c>
    </x:row>
    <x:row r="49">
      <x:c r="A49" t="str">
        <x:v>T045</x:v>
      </x:c>
      <x:c r="B49" t="str">
        <x:v>C6 - Customer Quote Rejection</x:v>
      </x:c>
      <x:c r="C49" t="str">
        <x:v>a rejected quote cannot later be converted into approval</x:v>
      </x:c>
      <x:c r="D49" t="str">
        <x:v>C06</x:v>
      </x:c>
      <x:c r="E49" t="str">
        <x:v>Regra de negócio</x:v>
      </x:c>
      <x:c r="F49" t="str">
        <x:v>PASS</x:v>
      </x:c>
      <x:c r="G49" t="str">
        <x:v>Rejeição concluída não pode ser convertida em aprovação</x:v>
      </x:c>
      <x:c r="H49" t="str">
        <x:v>Reforça consistência do fluxo C06.</x:v>
      </x:c>
    </x:row>
    <x:row r="50">
      <x:c r="A50" t="str">
        <x:v>T046</x:v>
      </x:c>
      <x:c r="B50" t="str">
        <x:v>C7 - Successful Service Order End-to-End Flow</x:v>
      </x:c>
      <x:c r="C50" t="str">
        <x:v>Service Order completes the full API flow with explicit CUSTOMER approval</x:v>
      </x:c>
      <x:c r="D50" t="str">
        <x:v>C07</x:v>
      </x:c>
      <x:c r="E50" t="str">
        <x:v>Integração ponta a ponta</x:v>
      </x:c>
      <x:c r="F50" t="str">
        <x:v>PASS</x:v>
      </x:c>
      <x:c r="G50" t="str">
        <x:v>Fluxo completo da OS funciona com aprovação explícita do Customer</x:v>
      </x:c>
      <x:c r="H50" t="str">
        <x:v>Cobre C07.05.</x:v>
      </x:c>
    </x:row>
    <x:row r="51">
      <x:c r="A51" t="str">
        <x:v>T047</x:v>
      </x:c>
      <x:c r="B51" t="str">
        <x:v>C7 - Successful Service Order End-to-End Flow</x:v>
      </x:c>
      <x:c r="C51" t="str">
        <x:v>successful Service Order records ordered status history and CUSTOMER is the approval actor</x:v>
      </x:c>
      <x:c r="D51" t="str">
        <x:v>C07</x:v>
      </x:c>
      <x:c r="E51" t="str">
        <x:v>Integração / Histórico</x:v>
      </x:c>
      <x:c r="F51" t="str">
        <x:v>PASS</x:v>
      </x:c>
      <x:c r="G51" t="str">
        <x:v>Histórico registra ordem correta e Customer como ator da aprovação</x:v>
      </x:c>
      <x:c r="H51" t="str">
        <x:v>Cobre C07.06.</x:v>
      </x:c>
    </x:row>
    <x:row r="52">
      <x:c r="A52" t="str">
        <x:v>T048</x:v>
      </x:c>
      <x:c r="B52" t="str">
        <x:v>C7 - Successful Service Order End-to-End Flow</x:v>
      </x:c>
      <x:c r="C52" t="str">
        <x:v>ENTREGUE retry is idempotent and produces exactly one completion CRM event</x:v>
      </x:c>
      <x:c r="D52" t="str">
        <x:v>C07</x:v>
      </x:c>
      <x:c r="E52" t="str">
        <x:v>Integração / Idempotência / CRM</x:v>
      </x:c>
      <x:c r="F52" t="str">
        <x:v>PASS</x:v>
      </x:c>
      <x:c r="G52" t="str">
        <x:v>Retry de ENTREGUE não duplica histórico nem SERVICE_ORDER_COMPLETED</x:v>
      </x:c>
      <x:c r="H52" t="str">
        <x:v>Cobre C07.04 e C07.06.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1f93586d9cb42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52" hidden="0" customWidth="1"/>
    <x:col min="4" max="4" width="22" hidden="0" customWidth="1"/>
    <x:col min="5" max="5" width="20" hidden="0" customWidth="1"/>
    <x:col min="6" max="6" width="18" hidden="0" customWidth="1"/>
    <x:col min="7" max="7" width="19" hidden="0" customWidth="1"/>
    <x:col min="8" max="8" width="48" hidden="0" customWidth="1"/>
  </x:cols>
  <x:sheetData>
    <x:row r="1" ht="26" customHeight="1">
      <x:c r="A1" s="43" t="str">
        <x:v>C1 — Organização / Autenticação / Acesso | Meta de Cobertura: 75%</x:v>
      </x:c>
      <x:c r="B1" s="43"/>
      <x:c r="C1" s="43"/>
      <x:c r="D1" s="43"/>
      <x:c r="E1" s="43"/>
      <x:c r="F1" s="43"/>
      <x:c r="G1" s="43"/>
      <x:c r="H1" s="43"/>
    </x:row>
    <x:row r="3">
      <x:c r="A3" s="44" t="str">
        <x:v>Indicador</x:v>
      </x:c>
      <x:c r="B3" s="44" t="str">
        <x:v>Valor</x:v>
      </x:c>
      <x:c r="D3" s="44" t="str">
        <x:v>Planejamento</x:v>
      </x:c>
      <x:c r="E3" s="44" t="str">
        <x:v>Valor</x:v>
      </x:c>
    </x:row>
    <x:row r="4" ht="20" customHeight="1">
      <x:c r="A4" s="45" t="str">
        <x:v>Itens do C1</x:v>
      </x:c>
      <x:c r="B4" s="45" t="n">
        <x:f>COUNTIF(Checklist!$A$5:$A$55,"C01")</x:f>
        <x:v>10</x:v>
      </x:c>
      <x:c r="C4" s="45"/>
      <x:c r="D4" s="45" t="str">
        <x:v>Cobertos necessários p/ 75%</x:v>
      </x:c>
      <x:c r="E4" s="47" t="n">
        <x:f>ROUNDUP(B4*B7,0)</x:f>
        <x:v>8</x:v>
      </x:c>
    </x:row>
    <x:row r="5" ht="20" customHeight="1">
      <x:c r="A5" s="45" t="str">
        <x:v>Itens cobertos</x:v>
      </x:c>
      <x:c r="B5" s="45" t="n">
        <x:f>COUNTIFS(Checklist!$A$5:$A$55,"C01",Checklist!$G$5:$G$55,"COBERTO")</x:f>
        <x:v>8</x:v>
      </x:c>
      <x:c r="C5" s="45"/>
      <x:c r="D5" s="45" t="str">
        <x:v>Itens adicionais necessários</x:v>
      </x:c>
      <x:c r="E5" s="47" t="n">
        <x:f>MAX(0,E4-B5)</x:f>
        <x:v>0</x:v>
      </x:c>
    </x:row>
    <x:row r="6" ht="20" customHeight="1">
      <x:c r="A6" s="45" t="str">
        <x:v>Cobertura atual</x:v>
      </x:c>
      <x:c r="B6" s="46" t="n">
        <x:f>IF(B4=0,0,B5/B4)</x:f>
        <x:v>0.8</x:v>
      </x:c>
      <x:c r="C6" s="45"/>
      <x:c r="D6" s="45" t="str">
        <x:v>Pode atingir 75% só com o já implementado?</x:v>
      </x:c>
      <x:c r="E6" s="47" t="str">
        <x:f>IF(B6&gt;=B7,"SIM","NÃO")</x:f>
        <x:v>SIM</x:v>
      </x:c>
    </x:row>
    <x:row r="7" ht="20" customHeight="1">
      <x:c r="A7" s="45" t="str">
        <x:v>Meta</x:v>
      </x:c>
      <x:c r="B7" s="46" t="n">
        <x:v>0.75</x:v>
      </x:c>
      <x:c r="C7" s="45"/>
      <x:c r="D7" s="45" t="str">
        <x:v>Próxima etapa</x:v>
      </x:c>
      <x:c r="E7" s="47" t="str">
        <x:v>C1 encerrado acima da meta; próximo foco: C2</x:v>
      </x:c>
    </x:row>
    <x:row r="9" ht="24" customHeight="1">
      <x:c r="A9" s="44" t="str">
        <x:v>Item</x:v>
      </x:c>
      <x:c r="B9" s="44" t="str">
        <x:v>Área</x:v>
      </x:c>
      <x:c r="C9" s="44" t="str">
        <x:v>Regra / resultado esperado</x:v>
      </x:c>
      <x:c r="D9" s="44" t="str">
        <x:v>Implementação</x:v>
      </x:c>
      <x:c r="E9" s="44" t="str">
        <x:v>Status</x:v>
      </x:c>
      <x:c r="F9" s="44" t="str">
        <x:v>Teste atual</x:v>
      </x:c>
      <x:c r="G9" s="44" t="str">
        <x:v>Prioridade C1</x:v>
      </x:c>
      <x:c r="H9" s="44" t="str">
        <x:v>Notas</x:v>
      </x:c>
    </x:row>
    <x:row r="10" ht="30" customHeight="1">
      <x:c r="A10" s="48" t="str">
        <x:v>C01.01</x:v>
      </x:c>
      <x:c r="B10" s="48" t="str">
        <x:v>Auth / Segurança</x:v>
      </x:c>
      <x:c r="C10" s="48" t="str">
        <x:v>Backend não inicia sem JWT_SECRET.</x:v>
      </x:c>
      <x:c r="D10" s="48" t="str">
        <x:v>IMPLEMENTADO</x:v>
      </x:c>
      <x:c r="E10" s="51" t="str">
        <x:v>COBERTO</x:v>
      </x:c>
      <x:c r="F10" s="48" t="str">
        <x:v>T001</x:v>
      </x:c>
      <x:c r="G10" s="51" t="str">
        <x:v>CONCLUÍDO</x:v>
      </x:c>
      <x:c r="H10" s="48" t="str">
        <x:v>Já coberto pelo teste atual.</x:v>
      </x:c>
    </x:row>
    <x:row r="11" ht="30" customHeight="1">
      <x:c r="A11" s="49" t="str">
        <x:v>C01.02</x:v>
      </x:c>
      <x:c r="B11" s="49" t="str">
        <x:v>Auth / Segurança</x:v>
      </x:c>
      <x:c r="C11" s="49" t="str">
        <x:v>Cadastro público não pode injetar role privilegiada.</x:v>
      </x:c>
      <x:c r="D11" s="49" t="str">
        <x:v>IMPLEMENTADO</x:v>
      </x:c>
      <x:c r="E11" s="51" t="str">
        <x:v>COBERTO</x:v>
      </x:c>
      <x:c r="F11" s="49" t="str">
        <x:v>T002</x:v>
      </x:c>
      <x:c r="G11" s="51" t="str">
        <x:v>CONCLUÍDO</x:v>
      </x:c>
      <x:c r="H11" s="49" t="str">
        <x:v>Já coberto pelo teste atual.</x:v>
      </x:c>
    </x:row>
    <x:row r="12" ht="30" customHeight="1">
      <x:c r="A12" s="48" t="str">
        <x:v>C01.03</x:v>
      </x:c>
      <x:c r="B12" s="48" t="str">
        <x:v>Organization</x:v>
      </x:c>
      <x:c r="C12" s="48" t="str">
        <x:v>Organization existe antes do contexto autenticado de trabalho.</x:v>
      </x:c>
      <x:c r="D12" s="48" t="str">
        <x:v>IMPLEMENTADO</x:v>
      </x:c>
      <x:c r="E12" s="51" t="str">
        <x:v>COBERTO</x:v>
      </x:c>
      <x:c r="F12" s="48" t="str">
        <x:v>T013</x:v>
      </x:c>
      <x:c r="G12" s="51" t="str">
        <x:v>CONCLUÍDO</x:v>
      </x:c>
      <x:c r="H12" s="48" t="str">
        <x:v>Organization persistida validada por teste de integração.</x:v>
      </x:c>
    </x:row>
    <x:row r="13" ht="30" customHeight="1">
      <x:c r="A13" s="49" t="str">
        <x:v>C01.04</x:v>
      </x:c>
      <x:c r="B13" s="49" t="str">
        <x:v>Membership</x:v>
      </x:c>
      <x:c r="C13" s="49" t="str">
        <x:v>ADMIN/TECH autenticado deve possuir Membership vinculada à Organization.</x:v>
      </x:c>
      <x:c r="D13" s="49" t="str">
        <x:v>IMPLEMENTADO</x:v>
      </x:c>
      <x:c r="E13" s="51" t="str">
        <x:v>COBERTO</x:v>
      </x:c>
      <x:c r="F13" s="49" t="str">
        <x:v>T013; T016</x:v>
      </x:c>
      <x:c r="G13" s="51" t="str">
        <x:v>CONCLUÍDO</x:v>
      </x:c>
      <x:c r="H13" s="49" t="str">
        <x:v>Membership válida e ausência de Membership bloqueada.</x:v>
      </x:c>
    </x:row>
    <x:row r="14" ht="30" customHeight="1">
      <x:c r="A14" s="48" t="str">
        <x:v>C01.05</x:v>
      </x:c>
      <x:c r="B14" s="48" t="str">
        <x:v>Login</x:v>
      </x:c>
      <x:c r="C14" s="48" t="str">
        <x:v>Login válido retorna JWT com role e organizationId derivados do backend.</x:v>
      </x:c>
      <x:c r="D14" s="48" t="str">
        <x:v>IMPLEMENTADO</x:v>
      </x:c>
      <x:c r="E14" s="51" t="str">
        <x:v>COBERTO</x:v>
      </x:c>
      <x:c r="F14" s="48" t="str">
        <x:v>T014</x:v>
      </x:c>
      <x:c r="G14" s="51" t="str">
        <x:v>CONCLUÍDO</x:v>
      </x:c>
      <x:c r="H14" s="48" t="str">
        <x:v>JWT contém role e organizationId derivados do backend.</x:v>
      </x:c>
    </x:row>
    <x:row r="15" ht="30" customHeight="1">
      <x:c r="A15" s="49" t="str">
        <x:v>C01.06</x:v>
      </x:c>
      <x:c r="B15" s="49" t="str">
        <x:v>Login</x:v>
      </x:c>
      <x:c r="C15" s="49" t="str">
        <x:v>Credenciais inválidas são rejeitadas.</x:v>
      </x:c>
      <x:c r="D15" s="49" t="str">
        <x:v>IMPLEMENTADO</x:v>
      </x:c>
      <x:c r="E15" s="51" t="str">
        <x:v>COBERTO</x:v>
      </x:c>
      <x:c r="F15" s="49" t="str">
        <x:v>T015</x:v>
      </x:c>
      <x:c r="G15" s="51" t="str">
        <x:v>CONCLUÍDO</x:v>
      </x:c>
      <x:c r="H15" s="49" t="str">
        <x:v>Credenciais inválidas rejeitadas.</x:v>
      </x:c>
    </x:row>
    <x:row r="16" ht="30" customHeight="1">
      <x:c r="A16" s="48" t="str">
        <x:v>C01.07</x:v>
      </x:c>
      <x:c r="B16" s="48" t="str">
        <x:v>Auth /me</x:v>
      </x:c>
      <x:c r="C16" s="48" t="str">
        <x:v>/auth/me retorna identidade coerente com o usuário autenticado.</x:v>
      </x:c>
      <x:c r="D16" s="48" t="str">
        <x:v>IMPLEMENTADO</x:v>
      </x:c>
      <x:c r="E16" s="51" t="str">
        <x:v>COBERTO</x:v>
      </x:c>
      <x:c r="F16" s="48" t="str">
        <x:v>T017</x:v>
      </x:c>
      <x:c r="G16" s="51" t="str">
        <x:v>CONCLUÍDO</x:v>
      </x:c>
      <x:c r="H16" s="48" t="str">
        <x:v>/auth/me validado com contexto organizacional correto.</x:v>
      </x:c>
    </x:row>
    <x:row r="17" ht="30" customHeight="1">
      <x:c r="A17" s="49" t="str">
        <x:v>C01.08</x:v>
      </x:c>
      <x:c r="B17" s="49" t="str">
        <x:v>Multi-tenant</x:v>
      </x:c>
      <x:c r="C17" s="49" t="str">
        <x:v>Usuário da Organization A não pode operar dados protegidos da Organization B.</x:v>
      </x:c>
      <x:c r="D17" s="49" t="str">
        <x:v>IMPLEMENTADO PARCIAL</x:v>
      </x:c>
      <x:c r="E17" s="51" t="str">
        <x:v>COBERTO</x:v>
      </x:c>
      <x:c r="F17" s="49" t="str">
        <x:v>T018; T019</x:v>
      </x:c>
      <x:c r="G17" s="51" t="str">
        <x:v>CONCLUÍDO</x:v>
      </x:c>
      <x:c r="H17" s="49" t="str">
        <x:v>Isolamento Organization A × B validado com OS real.</x:v>
      </x:c>
    </x:row>
    <x:row r="18" ht="30" customHeight="1">
      <x:c r="A18" s="48" t="str">
        <x:v>C01.09</x:v>
      </x:c>
      <x:c r="B18" s="48" t="str">
        <x:v>Licenciamento</x:v>
      </x:c>
      <x:c r="C18" s="48" t="str">
        <x:v>Aquisição/ativação da licença da Organization.</x:v>
      </x:c>
      <x:c r="D18" s="48" t="str">
        <x:v>NÃO IMPLEMENTADO</x:v>
      </x:c>
      <x:c r="E18" s="51" t="str">
        <x:v>PENDENTE_IMPLEMENTACAO</x:v>
      </x:c>
      <x:c r="F18" s="48" t="str"/>
      <x:c r="G18" s="51" t="str">
        <x:v>BLOQUEADO</x:v>
      </x:c>
      <x:c r="H18" s="48" t="str">
        <x:v>Não implementar sem discussão/decisão específica.</x:v>
      </x:c>
    </x:row>
    <x:row r="19" ht="30" customHeight="1">
      <x:c r="A19" s="49" t="str">
        <x:v>C01.10</x:v>
      </x:c>
      <x:c r="B19" s="49" t="str">
        <x:v>Frontend</x:v>
      </x:c>
      <x:c r="C19" s="49" t="str">
        <x:v>Login integrado Desktop/Web/Mobile.</x:v>
      </x:c>
      <x:c r="D19" s="49" t="str">
        <x:v>NÃO IMPLEMENTADO</x:v>
      </x:c>
      <x:c r="E19" s="51" t="str">
        <x:v>PENDENTE_IMPLEMENTACAO</x:v>
      </x:c>
      <x:c r="F19" s="49" t="str"/>
      <x:c r="G19" s="51" t="str">
        <x:v>BLOQUEADO</x:v>
      </x:c>
      <x:c r="H19" s="49" t="str">
        <x:v>Frontend Auth ainda não integrado.</x:v>
      </x:c>
    </x:row>
  </x:sheetData>
  <x:mergeCells>
    <x:mergeCell ref="A1:H1"/>
  </x:mergeCells>
  <x:dataValidations count="1">
    <x:dataValidation type="list" sqref="E10:E19">
      <x:formula1>"COBERTO,PENDENTE_TESTE,PENDENTE_IMPLEMENTACAO,DECISAO_PENDENTE,NAO_APLICAVEL"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3422887c274e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52" hidden="0" customWidth="1"/>
    <x:col min="4" max="4" width="22" hidden="0" customWidth="1"/>
    <x:col min="5" max="5" width="20" hidden="0" customWidth="1"/>
    <x:col min="6" max="6" width="18" hidden="0" customWidth="1"/>
    <x:col min="7" max="7" width="19" hidden="0" customWidth="1"/>
    <x:col min="8" max="8" width="48" hidden="0" customWidth="1"/>
  </x:cols>
  <x:sheetData>
    <x:row r="1" ht="26" customHeight="1">
      <x:c r="A1" s="43" t="str">
        <x:v>C2 — Customer / Equipment / Service Order | Meta de Cobertura: 75%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4" t="str">
        <x:v>Indicador</x:v>
      </x:c>
      <x:c r="B3" s="44" t="str">
        <x:v>Valor</x:v>
      </x:c>
      <x:c r="C3"/>
      <x:c r="D3" s="44" t="str">
        <x:v>Planejamento</x:v>
      </x:c>
      <x:c r="E3" s="44" t="str">
        <x:v>Valor</x:v>
      </x:c>
      <x:c r="F3"/>
      <x:c r="G3"/>
      <x:c r="H3"/>
    </x:row>
    <x:row r="4" ht="20" customHeight="1">
      <x:c r="A4" s="45" t="str">
        <x:v>Itens do C2</x:v>
      </x:c>
      <x:c r="B4" s="45" t="n">
        <x:f>COUNTA(A10:A17)</x:f>
        <x:v>8</x:v>
      </x:c>
      <x:c r="C4" s="45"/>
      <x:c r="D4" s="45" t="str">
        <x:v>Cobertos necessários p/ 75%</x:v>
      </x:c>
      <x:c r="E4" s="47" t="n">
        <x:f>ROUNDUP(B4*B7,0)</x:f>
        <x:v>6</x:v>
      </x:c>
      <x:c r="F4"/>
      <x:c r="G4"/>
      <x:c r="H4"/>
    </x:row>
    <x:row r="5" ht="20" customHeight="1">
      <x:c r="A5" s="45" t="str">
        <x:v>Itens cobertos</x:v>
      </x:c>
      <x:c r="B5" s="45" t="n">
        <x:f>COUNTIF(E10:E17,"COBERTO")</x:f>
        <x:v>8</x:v>
      </x:c>
      <x:c r="C5" s="45"/>
      <x:c r="D5" s="45" t="str">
        <x:v>Itens adicionais necessários</x:v>
      </x:c>
      <x:c r="E5" s="47" t="n">
        <x:f>MAX(E4-B5,0)</x:f>
        <x:v>0</x:v>
      </x:c>
      <x:c r="F5"/>
      <x:c r="G5"/>
      <x:c r="H5"/>
    </x:row>
    <x:row r="6" ht="20" customHeight="1">
      <x:c r="A6" s="45" t="str">
        <x:v>Cobertura atual</x:v>
      </x:c>
      <x:c r="B6" s="46" t="n">
        <x:f>IF(B4=0,0,B5/B4)</x:f>
        <x:v>1</x:v>
      </x:c>
      <x:c r="C6" s="45"/>
      <x:c r="D6" s="45" t="str">
        <x:v>Pode atingir 75% com a cobertura atual?</x:v>
      </x:c>
      <x:c r="E6" s="47" t="str">
        <x:f>IF(B6&gt;=B7,"SIM","NÃO")</x:f>
        <x:v>SIM</x:v>
      </x:c>
      <x:c r="F6"/>
      <x:c r="G6"/>
      <x:c r="H6"/>
    </x:row>
    <x:row r="7" ht="20" customHeight="1">
      <x:c r="A7" s="45" t="str">
        <x:v>Meta</x:v>
      </x:c>
      <x:c r="B7" s="46" t="n">
        <x:v>0.75</x:v>
      </x:c>
      <x:c r="C7" s="45"/>
      <x:c r="D7" s="45" t="str">
        <x:v>Próxima etapa</x:v>
      </x:c>
      <x:c r="E7" s="47" t="str">
        <x:v>C2 encerrado em 100%; próximo foco: C3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 ht="24" customHeight="1">
      <x:c r="A9" s="44" t="str">
        <x:v>Item</x:v>
      </x:c>
      <x:c r="B9" s="44" t="str">
        <x:v>Área</x:v>
      </x:c>
      <x:c r="C9" s="44" t="str">
        <x:v>Regra / resultado esperado</x:v>
      </x:c>
      <x:c r="D9" s="44" t="str">
        <x:v>Implementação</x:v>
      </x:c>
      <x:c r="E9" s="44" t="str">
        <x:v>Status</x:v>
      </x:c>
      <x:c r="F9" s="44" t="str">
        <x:v>Teste atual</x:v>
      </x:c>
      <x:c r="G9" s="44" t="str">
        <x:v>Prioridade C2</x:v>
      </x:c>
      <x:c r="H9" s="44" t="str">
        <x:v>Notas</x:v>
      </x:c>
    </x:row>
    <x:row r="10" ht="30" customHeight="1">
      <x:c r="A10" s="48" t="str">
        <x:v>C02.01</x:v>
      </x:c>
      <x:c r="B10" s="48" t="str">
        <x:v>CustomerOrganization</x:v>
      </x:c>
      <x:c r="C10" s="48" t="str">
        <x:v>Organization pode abrir OS apenas para Customer com relacionamento ACTIVE.</x:v>
      </x:c>
      <x:c r="D10" s="48" t="str">
        <x:v>IMPLEMENTADO</x:v>
      </x:c>
      <x:c r="E10" s="51" t="str">
        <x:v>COBERTO</x:v>
      </x:c>
      <x:c r="F10" s="48" t="str">
        <x:v>T020; T021</x:v>
      </x:c>
      <x:c r="G10" s="51" t="str">
        <x:v>CONCLUÍDO</x:v>
      </x:c>
      <x:c r="H10" s="48" t="str">
        <x:v>Customer ACTIVE cria OS; relacionamento BLOCKED é rejeitado.</x:v>
      </x:c>
    </x:row>
    <x:row r="11" ht="30" customHeight="1">
      <x:c r="A11" s="49" t="str">
        <x:v>C02.02</x:v>
      </x:c>
      <x:c r="B11" s="49" t="str">
        <x:v>Equipment</x:v>
      </x:c>
      <x:c r="C11" s="49" t="str">
        <x:v>Equipment principal da OS pertence ao mesmo Customer informado.</x:v>
      </x:c>
      <x:c r="D11" s="49" t="str">
        <x:v>IMPLEMENTADO</x:v>
      </x:c>
      <x:c r="E11" s="51" t="str">
        <x:v>COBERTO</x:v>
      </x:c>
      <x:c r="F11" s="49" t="str">
        <x:v>T022</x:v>
      </x:c>
      <x:c r="G11" s="51" t="str">
        <x:v>CONCLUÍDO</x:v>
      </x:c>
      <x:c r="H11" s="49" t="str">
        <x:v>OS com Equipment de outro Customer é rejeitada.</x:v>
      </x:c>
    </x:row>
    <x:row r="12" ht="30" customHeight="1">
      <x:c r="A12" s="48" t="str">
        <x:v>C02.03</x:v>
      </x:c>
      <x:c r="B12" s="48" t="str">
        <x:v>Service Order</x:v>
      </x:c>
      <x:c r="C12" s="48" t="str">
        <x:v>OS exige Organization + Customer + Equipment.</x:v>
      </x:c>
      <x:c r="D12" s="48" t="str">
        <x:v>IMPLEMENTADO</x:v>
      </x:c>
      <x:c r="E12" s="51" t="str">
        <x:v>COBERTO</x:v>
      </x:c>
      <x:c r="F12" s="48" t="str">
        <x:v>T020; T024</x:v>
      </x:c>
      <x:c r="G12" s="51" t="str">
        <x:v>CONCLUÍDO</x:v>
      </x:c>
      <x:c r="H12" s="48" t="str">
        <x:v>OS mantém Organization + Customer + Equipment; primeiro atendimento cria Equipment + OS no mesmo fluxo.</x:v>
      </x:c>
    </x:row>
    <x:row r="13" ht="30" customHeight="1">
      <x:c r="A13" s="49" t="str">
        <x:v>C02.04</x:v>
      </x:c>
      <x:c r="B13" s="49" t="str">
        <x:v>Equipment / Acesso</x:v>
      </x:c>
      <x:c r="C13" s="49" t="str">
        <x:v>CustomerOrganization sozinho não concede acesso a todos os Equipment do cliente.</x:v>
      </x:c>
      <x:c r="D13" s="49" t="str">
        <x:v>IMPLEMENTADO</x:v>
      </x:c>
      <x:c r="E13" s="51" t="str">
        <x:v>COBERTO</x:v>
      </x:c>
      <x:c r="F13" s="49" t="str">
        <x:v>T024; T025</x:v>
      </x:c>
      <x:c r="G13" s="51" t="str">
        <x:v>CONCLUÍDO</x:v>
      </x:c>
      <x:c r="H13" s="49" t="str">
        <x:v>CustomerOrganization sozinho não concede acesso a Equipment; cadastro avulso pela equipe é bloqueado.</x:v>
      </x:c>
    </x:row>
    <x:row r="14" ht="30" customHeight="1">
      <x:c r="A14" s="48" t="str">
        <x:v>C02.05</x:v>
      </x:c>
      <x:c r="B14" s="48" t="str">
        <x:v>Equipment / Acesso</x:v>
      </x:c>
      <x:c r="C14" s="48" t="str">
        <x:v>Organization acessa Equipment do Customer quando existe OS própria para o Equipment.</x:v>
      </x:c>
      <x:c r="D14" s="48" t="str">
        <x:v>IMPLEMENTADO</x:v>
      </x:c>
      <x:c r="E14" s="51" t="str">
        <x:v>COBERTO</x:v>
      </x:c>
      <x:c r="F14" s="48" t="str">
        <x:v>T024</x:v>
      </x:c>
      <x:c r="G14" s="51" t="str">
        <x:v>CONCLUÍDO</x:v>
      </x:c>
      <x:c r="H14" s="48" t="str">
        <x:v>Organization passa a acessar Equipment do Customer somente após possuir OS própria para ele.</x:v>
      </x:c>
    </x:row>
    <x:row r="15" ht="30" customHeight="1">
      <x:c r="A15" s="49" t="str">
        <x:v>C02.06</x:v>
      </x:c>
      <x:c r="B15" s="49" t="str">
        <x:v>CRM</x:v>
      </x:c>
      <x:c r="C15" s="49" t="str">
        <x:v>Criação/estados operacionais não geram lifecycle events indevidos.</x:v>
      </x:c>
      <x:c r="D15" s="49" t="str">
        <x:v>IMPLEMENTADO</x:v>
      </x:c>
      <x:c r="E15" s="51" t="str">
        <x:v>COBERTO</x:v>
      </x:c>
      <x:c r="F15" s="49" t="str">
        <x:v>T008</x:v>
      </x:c>
      <x:c r="G15" s="51" t="str">
        <x:v>CONCLUÍDO</x:v>
      </x:c>
      <x:c r="H15" s="49" t="str">
        <x:v>Cobertura unitária atual mantida.</x:v>
      </x:c>
    </x:row>
    <x:row r="16" ht="30" customHeight="1">
      <x:c r="A16" s="48" t="str">
        <x:v>C02.07</x:v>
      </x:c>
      <x:c r="B16" s="48" t="str">
        <x:v>Multi-tenant</x:v>
      </x:c>
      <x:c r="C16" s="48" t="str">
        <x:v>Organization B não acessa OS criada pela Organization A.</x:v>
      </x:c>
      <x:c r="D16" s="48" t="str">
        <x:v>IMPLEMENTADO</x:v>
      </x:c>
      <x:c r="E16" s="51" t="str">
        <x:v>COBERTO</x:v>
      </x:c>
      <x:c r="F16" s="48" t="str">
        <x:v>T023; T024</x:v>
      </x:c>
      <x:c r="G16" s="51" t="str">
        <x:v>CONCLUÍDO</x:v>
      </x:c>
      <x:c r="H16" s="48" t="str">
        <x:v>Isolamento entre Organizations validado na criação e no acesso a Equipment.</x:v>
      </x:c>
    </x:row>
    <x:row r="17" ht="30" customHeight="1">
      <x:c r="A17" s="49" t="str">
        <x:v>C02.08</x:v>
      </x:c>
      <x:c r="B17" s="49" t="str">
        <x:v>Múltiplos equipamentos</x:v>
      </x:c>
      <x:c r="C17" s="49" t="str">
        <x:v>Mesmo Customer pode abrir OS distintas para Notebook e Celular.</x:v>
      </x:c>
      <x:c r="D17" s="49" t="str">
        <x:v>IMPLEMENTADO</x:v>
      </x:c>
      <x:c r="E17" s="51" t="str">
        <x:v>COBERTO</x:v>
      </x:c>
      <x:c r="F17" s="49" t="str">
        <x:v>T020</x:v>
      </x:c>
      <x:c r="G17" s="51" t="str">
        <x:v>CONCLUÍDO</x:v>
      </x:c>
      <x:c r="H17" s="49" t="str">
        <x:v>Mesmo Customer possui OS distintas para Notebook e Celular.</x:v>
      </x:c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52" hidden="0" customWidth="1"/>
    <x:col min="4" max="4" width="22" hidden="0" customWidth="1"/>
    <x:col min="5" max="5" width="20" hidden="0" customWidth="1"/>
    <x:col min="6" max="6" width="18" hidden="0" customWidth="1"/>
    <x:col min="7" max="7" width="19" hidden="0" customWidth="1"/>
    <x:col min="8" max="8" width="48" hidden="0" customWidth="1"/>
  </x:cols>
  <x:sheetData>
    <x:row r="1" ht="26" customHeight="1">
      <x:c r="A1" s="43" t="str">
        <x:v>C3 — Customer / Onboarding / Login / Histórico | Meta de Cobertura: 75%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4" t="str">
        <x:v>Indicador</x:v>
      </x:c>
      <x:c r="B3" s="44" t="str">
        <x:v>Valor</x:v>
      </x:c>
      <x:c r="C3"/>
      <x:c r="D3" s="44" t="str">
        <x:v>Planejamento</x:v>
      </x:c>
      <x:c r="E3" s="44" t="str">
        <x:v>Valor</x:v>
      </x:c>
      <x:c r="F3"/>
      <x:c r="G3"/>
      <x:c r="H3"/>
    </x:row>
    <x:row r="4" ht="20" customHeight="1">
      <x:c r="A4" s="45" t="str">
        <x:v>Itens do C3</x:v>
      </x:c>
      <x:c r="B4" s="45" t="n">
        <x:f>COUNTA(A10:A16)</x:f>
        <x:v>7</x:v>
      </x:c>
      <x:c r="C4" s="45"/>
      <x:c r="D4" s="45" t="str">
        <x:v>Cobertos necessários p/ 75%</x:v>
      </x:c>
      <x:c r="E4" s="47" t="n">
        <x:f>ROUNDUP(B4*B7,0)</x:f>
        <x:v>6</x:v>
      </x:c>
      <x:c r="F4"/>
      <x:c r="G4"/>
      <x:c r="H4"/>
    </x:row>
    <x:row r="5" ht="20" customHeight="1">
      <x:c r="A5" s="45" t="str">
        <x:v>Itens cobertos</x:v>
      </x:c>
      <x:c r="B5" s="45" t="n">
        <x:f>COUNTIF(E10:E16,"COBERTO")</x:f>
        <x:v>7</x:v>
      </x:c>
      <x:c r="C5" s="45"/>
      <x:c r="D5" s="45" t="str">
        <x:v>Itens adicionais necessários</x:v>
      </x:c>
      <x:c r="E5" s="47" t="n">
        <x:f>MAX(E4-B5,0)</x:f>
        <x:v>0</x:v>
      </x:c>
      <x:c r="F5"/>
      <x:c r="G5"/>
      <x:c r="H5"/>
    </x:row>
    <x:row r="6" ht="20" customHeight="1">
      <x:c r="A6" s="45" t="str">
        <x:v>Cobertura atual</x:v>
      </x:c>
      <x:c r="B6" s="46" t="n">
        <x:f>IF(B4=0,0,B5/B4)</x:f>
        <x:v>1</x:v>
      </x:c>
      <x:c r="C6" s="45"/>
      <x:c r="D6" s="45" t="str">
        <x:v>Pode atingir 75% com a cobertura atual?</x:v>
      </x:c>
      <x:c r="E6" s="47" t="str">
        <x:f>IF(B6&gt;=B7,"SIM","NÃO")</x:f>
        <x:v>SIM</x:v>
      </x:c>
      <x:c r="F6"/>
      <x:c r="G6"/>
      <x:c r="H6"/>
    </x:row>
    <x:row r="7" ht="20" customHeight="1">
      <x:c r="A7" s="45" t="str">
        <x:v>Meta</x:v>
      </x:c>
      <x:c r="B7" s="46" t="n">
        <x:v>0.75</x:v>
      </x:c>
      <x:c r="C7" s="45"/>
      <x:c r="D7" s="45" t="str">
        <x:v>Próxima etapa</x:v>
      </x:c>
      <x:c r="E7" s="47" t="str">
        <x:v>C3 encerrado em 100%; próximo foco: C4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 ht="24" customHeight="1">
      <x:c r="A9" s="44" t="str">
        <x:v>Item</x:v>
      </x:c>
      <x:c r="B9" s="44" t="str">
        <x:v>Área</x:v>
      </x:c>
      <x:c r="C9" s="44" t="str">
        <x:v>Regra / resultado esperado</x:v>
      </x:c>
      <x:c r="D9" s="44" t="str">
        <x:v>Implementação</x:v>
      </x:c>
      <x:c r="E9" s="44" t="str">
        <x:v>Status</x:v>
      </x:c>
      <x:c r="F9" s="44" t="str">
        <x:v>Teste atual</x:v>
      </x:c>
      <x:c r="G9" s="44" t="str">
        <x:v>Prioridade C3</x:v>
      </x:c>
      <x:c r="H9" s="44" t="str">
        <x:v>Notas</x:v>
      </x:c>
    </x:row>
    <x:row r="10" ht="30" customHeight="1">
      <x:c r="A10" s="48" t="str">
        <x:v>C03.01</x:v>
      </x:c>
      <x:c r="B10" s="48" t="str">
        <x:v>Cadastro Customer</x:v>
      </x:c>
      <x:c r="C10" s="48" t="str">
        <x:v>Cadastro público exige password.</x:v>
      </x:c>
      <x:c r="D10" s="48" t="str">
        <x:v>IMPLEMENTADO</x:v>
      </x:c>
      <x:c r="E10" s="51" t="str">
        <x:v>COBERTO</x:v>
      </x:c>
      <x:c r="F10" s="48" t="str">
        <x:v>T003</x:v>
      </x:c>
      <x:c r="G10" s="51" t="str">
        <x:v>CONCLUÍDO</x:v>
      </x:c>
      <x:c r="H10" s="48"/>
    </x:row>
    <x:row r="11" ht="30" customHeight="1">
      <x:c r="A11" s="49" t="str">
        <x:v>C03.02</x:v>
      </x:c>
      <x:c r="B11" s="49" t="str">
        <x:v>Cadastro Customer</x:v>
      </x:c>
      <x:c r="C11" s="49" t="str">
        <x:v>Cadastro público válido cria Customer/User permitido.</x:v>
      </x:c>
      <x:c r="D11" s="49" t="str">
        <x:v>IMPLEMENTADO</x:v>
      </x:c>
      <x:c r="E11" s="51" t="str">
        <x:v>COBERTO</x:v>
      </x:c>
      <x:c r="F11" s="49" t="str">
        <x:v>T004</x:v>
      </x:c>
      <x:c r="G11" s="51" t="str">
        <x:v>CONCLUÍDO</x:v>
      </x:c>
      <x:c r="H11" s="49"/>
    </x:row>
    <x:row r="12" ht="30" customHeight="1">
      <x:c r="A12" s="48" t="str">
        <x:v>C03.03</x:v>
      </x:c>
      <x:c r="B12" s="48" t="str">
        <x:v>Segurança</x:v>
      </x:c>
      <x:c r="C12" s="48" t="str">
        <x:v>Cadastro público não permite role privilegiada.</x:v>
      </x:c>
      <x:c r="D12" s="48" t="str">
        <x:v>IMPLEMENTADO</x:v>
      </x:c>
      <x:c r="E12" s="51" t="str">
        <x:v>COBERTO</x:v>
      </x:c>
      <x:c r="F12" s="48" t="str">
        <x:v>T002</x:v>
      </x:c>
      <x:c r="G12" s="51" t="str">
        <x:v>CONCLUÍDO</x:v>
      </x:c>
      <x:c r="H12" s="48"/>
    </x:row>
    <x:row r="13" ht="30" customHeight="1">
      <x:c r="A13" s="49" t="str">
        <x:v>C03.04</x:v>
      </x:c>
      <x:c r="B13" s="49" t="str">
        <x:v>Onboarding</x:v>
      </x:c>
      <x:c r="C13" s="49" t="str">
        <x:v>Customer PENDING é vinculado à Organization pelo fluxo de onboarding/claim.</x:v>
      </x:c>
      <x:c r="D13" s="49" t="str">
        <x:v>IMPLEMENTADO</x:v>
      </x:c>
      <x:c r="E13" s="51" t="str">
        <x:v>COBERTO</x:v>
      </x:c>
      <x:c r="F13" s="49" t="str">
        <x:v>T026</x:v>
      </x:c>
      <x:c r="G13" s="51" t="str">
        <x:v>CONCLUÍDO</x:v>
      </x:c>
      <x:c r="H13" s="49" t="str">
        <x:v>Onboarding/claim por AccessGrant vinculado à OS validado ponta a ponta.</x:v>
      </x:c>
    </x:row>
    <x:row r="14" ht="30" customHeight="1">
      <x:c r="A14" s="48" t="str">
        <x:v>C03.05</x:v>
      </x:c>
      <x:c r="B14" s="48" t="str">
        <x:v>Login Customer</x:v>
      </x:c>
      <x:c r="C14" s="48" t="str">
        <x:v>Customer habilitado consegue autenticar.</x:v>
      </x:c>
      <x:c r="D14" s="48" t="str">
        <x:v>IMPLEMENTADO</x:v>
      </x:c>
      <x:c r="E14" s="51" t="str">
        <x:v>COBERTO</x:v>
      </x:c>
      <x:c r="F14" s="48" t="str">
        <x:v>T027</x:v>
      </x:c>
      <x:c r="G14" s="51" t="str">
        <x:v>CONCLUÍDO</x:v>
      </x:c>
      <x:c r="H14" s="48" t="str">
        <x:v>CUSTOMER ACTIVE autentica sem Membership e recebe identidade global.</x:v>
      </x:c>
    </x:row>
    <x:row r="15" ht="30" customHeight="1">
      <x:c r="A15" s="49" t="str">
        <x:v>C03.06</x:v>
      </x:c>
      <x:c r="B15" s="49" t="str">
        <x:v>Consulta OS</x:v>
      </x:c>
      <x:c r="C15" s="49" t="str">
        <x:v>Customer consulta somente suas próprias OS.</x:v>
      </x:c>
      <x:c r="D15" s="49" t="str">
        <x:v>IMPLEMENTADO</x:v>
      </x:c>
      <x:c r="E15" s="51" t="str">
        <x:v>COBERTO</x:v>
      </x:c>
      <x:c r="F15" s="49" t="str">
        <x:v>T028</x:v>
      </x:c>
      <x:c r="G15" s="51" t="str">
        <x:v>CONCLUÍDO</x:v>
      </x:c>
      <x:c r="H15" s="49" t="str">
        <x:v>Customer acessa somente as próprias OS; OS alheia retorna 404.</x:v>
      </x:c>
    </x:row>
    <x:row r="16" ht="30" customHeight="1">
      <x:c r="A16" s="48" t="str">
        <x:v>C03.07</x:v>
      </x:c>
      <x:c r="B16" s="48" t="str">
        <x:v>Visão histórica/global</x:v>
      </x:c>
      <x:c r="C16" s="48" t="str">
        <x:v>Customer visualiza todas as próprias OS ao longo da existência.</x:v>
      </x:c>
      <x:c r="D16" s="48" t="str">
        <x:v>IMPLEMENTADO</x:v>
      </x:c>
      <x:c r="E16" s="51" t="str">
        <x:v>COBERTO</x:v>
      </x:c>
      <x:c r="F16" s="48" t="str">
        <x:v>T029; T030</x:v>
      </x:c>
      <x:c r="G16" s="51" t="str">
        <x:v>CONCLUÍDO</x:v>
      </x:c>
      <x:c r="H16" s="48" t="str">
        <x:v>Histórico global validado via REST e Sync Pull/offline-first entre Organizations.</x:v>
      </x:c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52" hidden="0" customWidth="1"/>
    <x:col min="4" max="4" width="22" hidden="0" customWidth="1"/>
    <x:col min="5" max="5" width="20" hidden="0" customWidth="1"/>
    <x:col min="6" max="6" width="18" hidden="0" customWidth="1"/>
    <x:col min="7" max="7" width="19" hidden="0" customWidth="1"/>
    <x:col min="8" max="8" width="48" hidden="0" customWidth="1"/>
  </x:cols>
  <x:sheetData>
    <x:row r="1" ht="26" customHeight="1">
      <x:c r="A1" s="43" t="str">
        <x:v>C4 — Aquisição de Equipment / Ownership | Meta de Cobertura: 75%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4" t="str">
        <x:v>Indicador</x:v>
      </x:c>
      <x:c r="B3" s="44" t="str">
        <x:v>Valor</x:v>
      </x:c>
      <x:c r="C3"/>
      <x:c r="D3" s="44" t="str">
        <x:v>Planejamento</x:v>
      </x:c>
      <x:c r="E3" s="44" t="str">
        <x:v>Valor</x:v>
      </x:c>
      <x:c r="F3"/>
      <x:c r="G3"/>
      <x:c r="H3"/>
    </x:row>
    <x:row r="4" ht="20" customHeight="1">
      <x:c r="A4" s="45" t="str">
        <x:v>Itens do C4</x:v>
      </x:c>
      <x:c r="B4" s="45" t="n">
        <x:f>COUNTA(A10:A17)</x:f>
        <x:v>8</x:v>
      </x:c>
      <x:c r="C4" s="45"/>
      <x:c r="D4" s="45" t="str">
        <x:v>Cobertos necessários p/ 75%</x:v>
      </x:c>
      <x:c r="E4" s="47" t="n">
        <x:f>ROUNDUP(B4*B7,0)</x:f>
        <x:v>6</x:v>
      </x:c>
      <x:c r="F4"/>
      <x:c r="G4"/>
      <x:c r="H4"/>
    </x:row>
    <x:row r="5" ht="20" customHeight="1">
      <x:c r="A5" s="45" t="str">
        <x:v>Itens cobertos</x:v>
      </x:c>
      <x:c r="B5" s="45" t="n">
        <x:v>8</x:v>
      </x:c>
      <x:c r="C5" s="45"/>
      <x:c r="D5" s="45" t="str">
        <x:v>Itens adicionais necessários</x:v>
      </x:c>
      <x:c r="E5" s="47" t="n">
        <x:v>0</x:v>
      </x:c>
      <x:c r="F5"/>
      <x:c r="G5"/>
      <x:c r="H5"/>
    </x:row>
    <x:row r="6" ht="20" customHeight="1">
      <x:c r="A6" s="45" t="str">
        <x:v>Cobertura atual</x:v>
      </x:c>
      <x:c r="B6" s="46" t="n">
        <x:v>1</x:v>
      </x:c>
      <x:c r="C6" s="45"/>
      <x:c r="D6" s="45" t="str">
        <x:v>Pode atingir 75% com a cobertura atual?</x:v>
      </x:c>
      <x:c r="E6" s="47" t="str">
        <x:v>SIM</x:v>
      </x:c>
      <x:c r="F6"/>
      <x:c r="G6"/>
      <x:c r="H6"/>
    </x:row>
    <x:row r="7" ht="20" customHeight="1">
      <x:c r="A7" s="45" t="str">
        <x:v>Meta</x:v>
      </x:c>
      <x:c r="B7" s="46" t="n">
        <x:v>0.75</x:v>
      </x:c>
      <x:c r="C7" s="45"/>
      <x:c r="D7" s="45" t="str">
        <x:v>Próxima etapa</x:v>
      </x:c>
      <x:c r="E7" s="47" t="str">
        <x:v>C4 encerrado em 100%; cenário validado por T031–T037.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 ht="24" customHeight="1">
      <x:c r="A9" s="44" t="str">
        <x:v>Item</x:v>
      </x:c>
      <x:c r="B9" s="44" t="str">
        <x:v>Área</x:v>
      </x:c>
      <x:c r="C9" s="44" t="str">
        <x:v>Regra / resultado esperado</x:v>
      </x:c>
      <x:c r="D9" s="44" t="str">
        <x:v>Implementação</x:v>
      </x:c>
      <x:c r="E9" s="44" t="str">
        <x:v>Status</x:v>
      </x:c>
      <x:c r="F9" s="44" t="str">
        <x:v>Teste atual</x:v>
      </x:c>
      <x:c r="G9" s="44" t="str">
        <x:v>Prioridade C4</x:v>
      </x:c>
      <x:c r="H9" s="44" t="str">
        <x:v>Notas</x:v>
      </x:c>
    </x:row>
    <x:row r="10" ht="30" customHeight="1">
      <x:c r="A10" s="48" t="str">
        <x:v>C04.01</x:v>
      </x:c>
      <x:c r="B10" s="48" t="str">
        <x:v>Equipment Ownership</x:v>
      </x:c>
      <x:c r="C10" s="48" t="str">
        <x:v>Equipment de Customer pode tornar-se propriedade da Organization somente por aquisição autorizada.</x:v>
      </x:c>
      <x:c r="D10" s="48" t="str">
        <x:v>IMPLEMENTADO</x:v>
      </x:c>
      <x:c r="E10" s="51" t="str">
        <x:v>COBERTO</x:v>
      </x:c>
      <x:c r="F10" s="48" t="str">
        <x:v>T031; T035</x:v>
      </x:c>
      <x:c r="G10" s="51" t="str">
        <x:v>CONCLUÍDO</x:v>
      </x:c>
      <x:c r="H10" s="48" t="str">
        <x:v>Transferência só ocorre após autorização e conclusão.</x:v>
      </x:c>
    </x:row>
    <x:row r="11" ht="30" customHeight="1">
      <x:c r="A11" s="49" t="str">
        <x:v>C04.02</x:v>
      </x:c>
      <x:c r="B11" s="49" t="str">
        <x:v>Finalidade</x:v>
      </x:c>
      <x:c r="C11" s="49" t="str">
        <x:v>Aquisição diferencia RESALE de PARTS_DONOR.</x:v>
      </x:c>
      <x:c r="D11" s="49" t="str">
        <x:v>IMPLEMENTADO</x:v>
      </x:c>
      <x:c r="E11" s="51" t="str">
        <x:v>COBERTO</x:v>
      </x:c>
      <x:c r="F11" s="49" t="str">
        <x:v>T032</x:v>
      </x:c>
      <x:c r="G11" s="51" t="str">
        <x:v>CONCLUÍDO</x:v>
      </x:c>
      <x:c r="H11" s="49" t="str">
        <x:v>RESALE e PARTS_DONOR diferenciados e persistidos.</x:v>
      </x:c>
    </x:row>
    <x:row r="12" ht="30" customHeight="1">
      <x:c r="A12" s="48" t="str">
        <x:v>C04.03</x:v>
      </x:c>
      <x:c r="B12" s="48" t="str">
        <x:v>Proposta (4.1)</x:v>
      </x:c>
      <x:c r="C12" s="48" t="str">
        <x:v>Organization apresenta proposta após identificar inviabilidade/alternativa de reparo.</x:v>
      </x:c>
      <x:c r="D12" s="48" t="str">
        <x:v>IMPLEMENTADO</x:v>
      </x:c>
      <x:c r="E12" s="51" t="str">
        <x:v>COBERTO</x:v>
      </x:c>
      <x:c r="F12" s="48" t="str">
        <x:v>T031</x:v>
      </x:c>
      <x:c r="G12" s="51" t="str">
        <x:v>CONCLUÍDO</x:v>
      </x:c>
      <x:c r="H12" s="48" t="str">
        <x:v>Organization cria proposta sem alterar ownership.</x:v>
      </x:c>
    </x:row>
    <x:row r="13" ht="30" customHeight="1">
      <x:c r="A13" s="49" t="str">
        <x:v>C04.04</x:v>
      </x:c>
      <x:c r="B13" s="49" t="str">
        <x:v>Consentimento (4.1)</x:v>
      </x:c>
      <x:c r="C13" s="49" t="str">
        <x:v>Customer autoriza ou rejeita a aquisição e a finalidade apresentada.</x:v>
      </x:c>
      <x:c r="D13" s="49" t="str">
        <x:v>IMPLEMENTADO</x:v>
      </x:c>
      <x:c r="E13" s="51" t="str">
        <x:v>COBERTO</x:v>
      </x:c>
      <x:c r="F13" s="49" t="str">
        <x:v>T033; T034</x:v>
      </x:c>
      <x:c r="G13" s="51" t="str">
        <x:v>CONCLUÍDO</x:v>
      </x:c>
      <x:c r="H13" s="49" t="str">
        <x:v>Customer autoriza/rejeita; consentimento gera snapshot/hash.</x:v>
      </x:c>
    </x:row>
    <x:row r="14" ht="30" customHeight="1">
      <x:c r="A14" s="48" t="str">
        <x:v>C04.05</x:v>
      </x:c>
      <x:c r="B14" s="48" t="str">
        <x:v>Transferência</x:v>
      </x:c>
      <x:c r="C14" s="48" t="str">
        <x:v>Somente aquisição concluída altera ownerType para ORGANIZATION.</x:v>
      </x:c>
      <x:c r="D14" s="48" t="str">
        <x:v>IMPLEMENTADO</x:v>
      </x:c>
      <x:c r="E14" s="51" t="str">
        <x:v>COBERTO</x:v>
      </x:c>
      <x:c r="F14" s="48" t="str">
        <x:v>T035</x:v>
      </x:c>
      <x:c r="G14" s="51" t="str">
        <x:v>CONCLUÍDO</x:v>
      </x:c>
      <x:c r="H14" s="48" t="str">
        <x:v>COMPLETED efetiva CUSTOMER → ORGANIZATION.</x:v>
      </x:c>
    </x:row>
    <x:row r="15" ht="30" customHeight="1">
      <x:c r="A15" s="49" t="str">
        <x:v>C04.06</x:v>
      </x:c>
      <x:c r="B15" s="49" t="str">
        <x:v>Acesso Organization</x:v>
      </x:c>
      <x:c r="C15" s="49" t="str">
        <x:v>Equipment próprio da Organization pode ser acessado diretamente pela Organization proprietária.</x:v>
      </x:c>
      <x:c r="D15" s="49" t="str">
        <x:v>IMPLEMENTADO</x:v>
      </x:c>
      <x:c r="E15" s="51" t="str">
        <x:v>COBERTO</x:v>
      </x:c>
      <x:c r="F15" s="49" t="str">
        <x:v>T035</x:v>
      </x:c>
      <x:c r="G15" s="51" t="str">
        <x:v>CONCLUÍDO</x:v>
      </x:c>
      <x:c r="H15" s="49" t="str">
        <x:v>Organization proprietária ganha acesso direto.</x:v>
      </x:c>
    </x:row>
    <x:row r="16" ht="30" customHeight="1">
      <x:c r="A16" s="48" t="str">
        <x:v>C04.07</x:v>
      </x:c>
      <x:c r="B16" s="48" t="str">
        <x:v>Isolamento</x:v>
      </x:c>
      <x:c r="C16" s="48" t="str">
        <x:v>Outra Organization não acessa Equipment adquirido por Organization A.</x:v>
      </x:c>
      <x:c r="D16" s="48" t="str">
        <x:v>IMPLEMENTADO</x:v>
      </x:c>
      <x:c r="E16" s="51" t="str">
        <x:v>COBERTO</x:v>
      </x:c>
      <x:c r="F16" s="48" t="str">
        <x:v>T036</x:v>
      </x:c>
      <x:c r="G16" s="51" t="str">
        <x:v>CONCLUÍDO</x:v>
      </x:c>
      <x:c r="H16" s="48" t="str">
        <x:v>Outra Organization não acessa aquisição/Equipment.</x:v>
      </x:c>
    </x:row>
    <x:row r="17" ht="30" customHeight="1">
      <x:c r="A17" s="49" t="str">
        <x:v>C04.08</x:v>
      </x:c>
      <x:c r="B17" s="49" t="str">
        <x:v>Sync</x:v>
      </x:c>
      <x:c r="C17" s="49" t="str">
        <x:v>Sync genérico não pode transferir ownership CUSTOMER → ORGANIZATION.</x:v>
      </x:c>
      <x:c r="D17" s="49" t="str">
        <x:v>IMPLEMENTADO</x:v>
      </x:c>
      <x:c r="E17" s="51" t="str">
        <x:v>COBERTO</x:v>
      </x:c>
      <x:c r="F17" s="49" t="str">
        <x:v>T037</x:v>
      </x:c>
      <x:c r="G17" s="51" t="str">
        <x:v>CONCLUÍDO</x:v>
      </x:c>
      <x:c r="H17" s="49" t="str">
        <x:v>Sync genérico não pode burlar aquisição.</x:v>
      </x:c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52" hidden="0" customWidth="1"/>
    <x:col min="4" max="4" width="22" hidden="0" customWidth="1"/>
    <x:col min="5" max="5" width="20" hidden="0" customWidth="1"/>
    <x:col min="6" max="6" width="18" hidden="0" customWidth="1"/>
    <x:col min="7" max="7" width="19" hidden="0" customWidth="1"/>
    <x:col min="8" max="8" width="48" hidden="0" customWidth="1"/>
  </x:cols>
  <x:sheetData>
    <x:row r="1" ht="26" customHeight="1">
      <x:c r="A1" s="43" t="str">
        <x:v>C5 — Cancelamento de OS / Devolução | Meta de Cobertura: 75%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4" t="str">
        <x:v>Indicador</x:v>
      </x:c>
      <x:c r="B3" s="44" t="str">
        <x:v>Valor</x:v>
      </x:c>
      <x:c r="C3"/>
      <x:c r="D3" s="44" t="str">
        <x:v>Planejamento</x:v>
      </x:c>
      <x:c r="E3" s="44" t="str">
        <x:v>Valor</x:v>
      </x:c>
      <x:c r="F3"/>
      <x:c r="G3"/>
      <x:c r="H3"/>
    </x:row>
    <x:row r="4" ht="20" customHeight="1">
      <x:c r="A4" s="45" t="str">
        <x:v>Itens do C5</x:v>
      </x:c>
      <x:c r="B4" s="45" t="n">
        <x:f>COUNTA(A10:A14)</x:f>
        <x:v>5</x:v>
      </x:c>
      <x:c r="C4" s="45"/>
      <x:c r="D4" s="45" t="str">
        <x:v>Cobertos necessários p/ 75%</x:v>
      </x:c>
      <x:c r="E4" s="47" t="n">
        <x:f>ROUNDUP(B4*B7,0)</x:f>
        <x:v>4</x:v>
      </x:c>
      <x:c r="F4"/>
      <x:c r="G4"/>
      <x:c r="H4"/>
    </x:row>
    <x:row r="5" ht="20" customHeight="1">
      <x:c r="A5" s="45" t="str">
        <x:v>Itens cobertos</x:v>
      </x:c>
      <x:c r="B5" s="45" t="n">
        <x:v>5</x:v>
      </x:c>
      <x:c r="C5" s="45"/>
      <x:c r="D5" s="45" t="str">
        <x:v>Itens adicionais necessários</x:v>
      </x:c>
      <x:c r="E5" s="47" t="n">
        <x:v>0</x:v>
      </x:c>
      <x:c r="F5"/>
      <x:c r="G5"/>
      <x:c r="H5"/>
    </x:row>
    <x:row r="6" ht="20" customHeight="1">
      <x:c r="A6" s="45" t="str">
        <x:v>Cobertura atual</x:v>
      </x:c>
      <x:c r="B6" s="46" t="n">
        <x:v>1</x:v>
      </x:c>
      <x:c r="C6" s="45"/>
      <x:c r="D6" s="45" t="str">
        <x:v>Pode atingir 75% com a cobertura atual?</x:v>
      </x:c>
      <x:c r="E6" s="47" t="str">
        <x:v>SIM</x:v>
      </x:c>
      <x:c r="F6"/>
      <x:c r="G6"/>
      <x:c r="H6"/>
    </x:row>
    <x:row r="7" ht="20" customHeight="1">
      <x:c r="A7" s="45" t="str">
        <x:v>Meta</x:v>
      </x:c>
      <x:c r="B7" s="46" t="n">
        <x:v>0.75</x:v>
      </x:c>
      <x:c r="C7" s="45"/>
      <x:c r="D7" s="45" t="str">
        <x:v>Próxima etapa</x:v>
      </x:c>
      <x:c r="E7" s="47" t="str">
        <x:v>C5 encerrado em 100%; cenário validado por T006, T010 e T038–T040.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 ht="24" customHeight="1">
      <x:c r="A9" s="44" t="str">
        <x:v>Item</x:v>
      </x:c>
      <x:c r="B9" s="44" t="str">
        <x:v>Área</x:v>
      </x:c>
      <x:c r="C9" s="44" t="str">
        <x:v>Regra / resultado esperado</x:v>
      </x:c>
      <x:c r="D9" s="44" t="str">
        <x:v>Implementação</x:v>
      </x:c>
      <x:c r="E9" s="44" t="str">
        <x:v>Status</x:v>
      </x:c>
      <x:c r="F9" s="44" t="str">
        <x:v>Teste atual</x:v>
      </x:c>
      <x:c r="G9" s="44" t="str">
        <x:v>Prioridade C5</x:v>
      </x:c>
      <x:c r="H9" s="44" t="str">
        <x:v>Notas</x:v>
      </x:c>
    </x:row>
    <x:row r="10" ht="30" customHeight="1">
      <x:c r="A10" s="48" t="str">
        <x:v>C05.01</x:v>
      </x:c>
      <x:c r="B10" s="48" t="str">
        <x:v>State machine</x:v>
      </x:c>
      <x:c r="C10" s="48" t="str">
        <x:v>Cancelamento é permitido a partir dos estados atualmente válidos.</x:v>
      </x:c>
      <x:c r="D10" s="48" t="str">
        <x:v>IMPLEMENTADO</x:v>
      </x:c>
      <x:c r="E10" s="51" t="str">
        <x:v>COBERTO</x:v>
      </x:c>
      <x:c r="F10" s="48" t="str">
        <x:v>T010</x:v>
      </x:c>
      <x:c r="G10" s="51" t="str">
        <x:v>CONCLUÍDO</x:v>
      </x:c>
      <x:c r="H10" s="48"/>
    </x:row>
    <x:row r="11" ht="30" customHeight="1">
      <x:c r="A11" s="49" t="str">
        <x:v>C05.02</x:v>
      </x:c>
      <x:c r="B11" s="49" t="str">
        <x:v>CRM</x:v>
      </x:c>
      <x:c r="C11" s="49" t="str">
        <x:v>CANCELADO mapeia para SERVICE_ORDER_CANCELLED.</x:v>
      </x:c>
      <x:c r="D11" s="49" t="str">
        <x:v>IMPLEMENTADO</x:v>
      </x:c>
      <x:c r="E11" s="51" t="str">
        <x:v>COBERTO</x:v>
      </x:c>
      <x:c r="F11" s="49" t="str">
        <x:v>T006; T038</x:v>
      </x:c>
      <x:c r="G11" s="51" t="str">
        <x:v>CONCLUÍDO</x:v>
      </x:c>
      <x:c r="H11" s="49" t="str">
        <x:v>Cancelamento real gera CRM uma única vez.</x:v>
      </x:c>
    </x:row>
    <x:row r="12" ht="30" customHeight="1">
      <x:c r="A12" s="48" t="str">
        <x:v>C05.03</x:v>
      </x:c>
      <x:c r="B12" s="48" t="str">
        <x:v>Endpoint / Integração</x:v>
      </x:c>
      <x:c r="C12" s="48" t="str">
        <x:v>Cancelamento real da OS persiste status + histórico + CRM atomicamente.</x:v>
      </x:c>
      <x:c r="D12" s="48" t="str">
        <x:v>IMPLEMENTADO</x:v>
      </x:c>
      <x:c r="E12" s="51" t="str">
        <x:v>COBERTO</x:v>
      </x:c>
      <x:c r="F12" s="48" t="str">
        <x:v>T038; T039</x:v>
      </x:c>
      <x:c r="G12" s="51" t="str">
        <x:v>CONCLUÍDO</x:v>
      </x:c>
      <x:c r="H12" s="48" t="str">
        <x:v>Status, histórico e CRM persistidos; retry idempotente.</x:v>
      </x:c>
    </x:row>
    <x:row r="13" ht="30" customHeight="1">
      <x:c r="A13" s="49" t="str">
        <x:v>C05.04</x:v>
      </x:c>
      <x:c r="B13" s="49" t="str">
        <x:v>Multi-tenant</x:v>
      </x:c>
      <x:c r="C13" s="49" t="str">
        <x:v>Outro Customer/tenant não cancela OS alheia; recurso permanece protegido por ownership e isolamento organizacional.</x:v>
      </x:c>
      <x:c r="D13" s="49" t="str">
        <x:v>IMPLEMENTADO</x:v>
      </x:c>
      <x:c r="E13" s="51" t="str">
        <x:v>COBERTO</x:v>
      </x:c>
      <x:c r="F13" s="49" t="str">
        <x:v>T039; T018</x:v>
      </x:c>
      <x:c r="G13" s="51" t="str">
        <x:v>CONCLUÍDO</x:v>
      </x:c>
      <x:c r="H13" s="49" t="str">
        <x:v>Boundary por Customer + isolamento organizacional transversal.</x:v>
      </x:c>
    </x:row>
    <x:row r="14" ht="30" customHeight="1">
      <x:c r="A14" s="48" t="str">
        <x:v>C05.05</x:v>
      </x:c>
      <x:c r="B14" s="48" t="str">
        <x:v>Devolução física</x:v>
      </x:c>
      <x:c r="C14" s="48" t="str">
        <x:v>Solicitação/devolução física do Equipment ao Customer.</x:v>
      </x:c>
      <x:c r="D14" s="48" t="str">
        <x:v>IMPLEMENTADO</x:v>
      </x:c>
      <x:c r="E14" s="51" t="str">
        <x:v>COBERTO</x:v>
      </x:c>
      <x:c r="F14" s="48" t="str">
        <x:v>T038; T040</x:v>
      </x:c>
      <x:c r="G14" s="51" t="str">
        <x:v>CONCLUÍDO</x:v>
      </x:c>
      <x:c r="H14" s="48" t="str">
        <x:v>Pedido e confirmação física de devolução; ownership permanece CUSTOMER.</x:v>
      </x:c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52" hidden="0" customWidth="1"/>
    <x:col min="4" max="4" width="22" hidden="0" customWidth="1"/>
    <x:col min="5" max="5" width="20" hidden="0" customWidth="1"/>
    <x:col min="6" max="6" width="18" hidden="0" customWidth="1"/>
    <x:col min="7" max="7" width="19" hidden="0" customWidth="1"/>
    <x:col min="8" max="8" width="48" hidden="0" customWidth="1"/>
  </x:cols>
  <x:sheetData>
    <x:row r="1" ht="26" customHeight="1">
      <x:c r="A1" s="43" t="str">
        <x:v>C6 — Orçamento Não Aprovado | Meta de Cobertura: 75%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4" t="str">
        <x:v>Indicador</x:v>
      </x:c>
      <x:c r="B3" s="44" t="str">
        <x:v>Valor</x:v>
      </x:c>
      <x:c r="C3"/>
      <x:c r="D3" s="44" t="str">
        <x:v>Planejamento</x:v>
      </x:c>
      <x:c r="E3" s="44" t="str">
        <x:v>Valor</x:v>
      </x:c>
      <x:c r="F3"/>
      <x:c r="G3"/>
      <x:c r="H3"/>
    </x:row>
    <x:row r="4" ht="20" customHeight="1">
      <x:c r="A4" s="45" t="str">
        <x:v>Itens do C6</x:v>
      </x:c>
      <x:c r="B4" s="45" t="n">
        <x:f>COUNTA(A10:A15)</x:f>
        <x:v>6</x:v>
      </x:c>
      <x:c r="C4" s="45"/>
      <x:c r="D4" s="45" t="str">
        <x:v>Cobertos necessários p/ 75%</x:v>
      </x:c>
      <x:c r="E4" s="47" t="n">
        <x:f>ROUNDUP(B4*B7,0)</x:f>
        <x:v>5</x:v>
      </x:c>
      <x:c r="F4"/>
      <x:c r="G4"/>
      <x:c r="H4"/>
    </x:row>
    <x:row r="5" ht="20" customHeight="1">
      <x:c r="A5" s="45" t="str">
        <x:v>Itens cobertos</x:v>
      </x:c>
      <x:c r="B5" s="45" t="n">
        <x:v>6</x:v>
      </x:c>
      <x:c r="C5" s="45"/>
      <x:c r="D5" s="45" t="str">
        <x:v>Itens adicionais necessários</x:v>
      </x:c>
      <x:c r="E5" s="47" t="n">
        <x:v>0</x:v>
      </x:c>
      <x:c r="F5"/>
      <x:c r="G5"/>
      <x:c r="H5"/>
    </x:row>
    <x:row r="6" ht="20" customHeight="1">
      <x:c r="A6" s="45" t="str">
        <x:v>Cobertura atual</x:v>
      </x:c>
      <x:c r="B6" s="46" t="n">
        <x:v>1</x:v>
      </x:c>
      <x:c r="C6" s="45"/>
      <x:c r="D6" s="45" t="str">
        <x:v>Pode atingir 75% com a cobertura atual?</x:v>
      </x:c>
      <x:c r="E6" s="47" t="str">
        <x:v>SIM</x:v>
      </x:c>
      <x:c r="F6"/>
      <x:c r="G6"/>
      <x:c r="H6"/>
    </x:row>
    <x:row r="7" ht="20" customHeight="1">
      <x:c r="A7" s="45" t="str">
        <x:v>Meta</x:v>
      </x:c>
      <x:c r="B7" s="46" t="n">
        <x:v>0.75</x:v>
      </x:c>
      <x:c r="C7" s="45"/>
      <x:c r="D7" s="45" t="str">
        <x:v>Próxima etapa</x:v>
      </x:c>
      <x:c r="E7" s="47" t="str">
        <x:v>C6 encerrado em 100%; cenário validado por T007 e T041–T045.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 ht="24" customHeight="1">
      <x:c r="A9" s="44" t="str">
        <x:v>Item</x:v>
      </x:c>
      <x:c r="B9" s="44" t="str">
        <x:v>Área</x:v>
      </x:c>
      <x:c r="C9" s="44" t="str">
        <x:v>Regra / resultado esperado</x:v>
      </x:c>
      <x:c r="D9" s="44" t="str">
        <x:v>Implementação</x:v>
      </x:c>
      <x:c r="E9" s="44" t="str">
        <x:v>Status</x:v>
      </x:c>
      <x:c r="F9" s="44" t="str">
        <x:v>Teste atual</x:v>
      </x:c>
      <x:c r="G9" s="44" t="str">
        <x:v>Prioridade C6</x:v>
      </x:c>
      <x:c r="H9" s="44" t="str">
        <x:v>Notas</x:v>
      </x:c>
    </x:row>
    <x:row r="10" ht="30" customHeight="1">
      <x:c r="A10" s="48" t="str">
        <x:v>C06.01</x:v>
      </x:c>
      <x:c r="B10" s="48" t="str">
        <x:v>Semântica</x:v>
      </x:c>
      <x:c r="C10" s="48" t="str">
        <x:v>AGUARDANDO_APROVACAO não significa orçamento rejeitado.</x:v>
      </x:c>
      <x:c r="D10" s="48" t="str">
        <x:v>IMPLEMENTADO</x:v>
      </x:c>
      <x:c r="E10" s="51" t="str">
        <x:v>COBERTO</x:v>
      </x:c>
      <x:c r="F10" s="48" t="str">
        <x:v>T007</x:v>
      </x:c>
      <x:c r="G10" s="51" t="str">
        <x:v>CONCLUÍDO</x:v>
      </x:c>
      <x:c r="H10" s="48"/>
    </x:row>
    <x:row r="11" ht="30" customHeight="1">
      <x:c r="A11" s="49" t="str">
        <x:v>C06.02</x:v>
      </x:c>
      <x:c r="B11" s="49" t="str">
        <x:v>Ação explícita</x:v>
      </x:c>
      <x:c r="C11" s="49" t="str">
        <x:v>Ação /not-approved só é válida a partir de AGUARDANDO_APROVACAO.</x:v>
      </x:c>
      <x:c r="D11" s="49" t="str">
        <x:v>IMPLEMENTADO</x:v>
      </x:c>
      <x:c r="E11" s="51" t="str">
        <x:v>COBERTO</x:v>
      </x:c>
      <x:c r="F11" s="49" t="str">
        <x:v>T041; T043</x:v>
      </x:c>
      <x:c r="G11" s="51" t="str">
        <x:v>CONCLUÍDO</x:v>
      </x:c>
      <x:c r="H11" s="49" t="str">
        <x:v>REJECT válido apenas quando aguardando aprovação.</x:v>
      </x:c>
    </x:row>
    <x:row r="12" ht="30" customHeight="1">
      <x:c r="A12" s="48" t="str">
        <x:v>C06.03</x:v>
      </x:c>
      <x:c r="B12" s="48" t="str">
        <x:v>CRM</x:v>
      </x:c>
      <x:c r="C12" s="48" t="str">
        <x:v>Não aprovação gera SERVICE_ORDER_NOT_APPROVED.</x:v>
      </x:c>
      <x:c r="D12" s="48" t="str">
        <x:v>IMPLEMENTADO</x:v>
      </x:c>
      <x:c r="E12" s="51" t="str">
        <x:v>COBERTO</x:v>
      </x:c>
      <x:c r="F12" s="48" t="str">
        <x:v>T041</x:v>
      </x:c>
      <x:c r="G12" s="51" t="str">
        <x:v>CONCLUÍDO</x:v>
      </x:c>
      <x:c r="H12" s="48" t="str">
        <x:v>Gera SERVICE_ORDER_NOT_APPROVED.</x:v>
      </x:c>
    </x:row>
    <x:row r="13" ht="30" customHeight="1">
      <x:c r="A13" s="49" t="str">
        <x:v>C06.04</x:v>
      </x:c>
      <x:c r="B13" s="49" t="str">
        <x:v>CRM</x:v>
      </x:c>
      <x:c r="C13" s="49" t="str">
        <x:v>Não aprovação não gera também SERVICE_ORDER_CANCELLED.</x:v>
      </x:c>
      <x:c r="D13" s="49" t="str">
        <x:v>IMPLEMENTADO</x:v>
      </x:c>
      <x:c r="E13" s="51" t="str">
        <x:v>COBERTO</x:v>
      </x:c>
      <x:c r="F13" s="49" t="str">
        <x:v>T041</x:v>
      </x:c>
      <x:c r="G13" s="51" t="str">
        <x:v>CONCLUÍDO</x:v>
      </x:c>
      <x:c r="H13" s="49" t="str">
        <x:v>Não gera SERVICE_ORDER_CANCELLED duplicado.</x:v>
      </x:c>
    </x:row>
    <x:row r="14" ht="30" customHeight="1">
      <x:c r="A14" s="48" t="str">
        <x:v>C06.05</x:v>
      </x:c>
      <x:c r="B14" s="48" t="str">
        <x:v>Idempotência</x:v>
      </x:c>
      <x:c r="C14" s="48" t="str">
        <x:v>Repetição da ação not-approved não duplica evento.</x:v>
      </x:c>
      <x:c r="D14" s="48" t="str">
        <x:v>IMPLEMENTADO</x:v>
      </x:c>
      <x:c r="E14" s="51" t="str">
        <x:v>COBERTO</x:v>
      </x:c>
      <x:c r="F14" s="48" t="str">
        <x:v>T042</x:v>
      </x:c>
      <x:c r="G14" s="51" t="str">
        <x:v>CONCLUÍDO</x:v>
      </x:c>
      <x:c r="H14" s="48" t="str">
        <x:v>Retry não duplica evento nem histórico.</x:v>
      </x:c>
    </x:row>
    <x:row r="15" ht="30" customHeight="1">
      <x:c r="A15" s="49" t="str">
        <x:v>C06.06</x:v>
      </x:c>
      <x:c r="B15" s="49" t="str">
        <x:v>Multi-tenant</x:v>
      </x:c>
      <x:c r="C15" s="49" t="str">
        <x:v>Outro Customer não executa decisão de orçamento em OS alheia; uma rejeição concluída não pode ser convertida em aprovação.</x:v>
      </x:c>
      <x:c r="D15" s="49" t="str">
        <x:v>IMPLEMENTADO</x:v>
      </x:c>
      <x:c r="E15" s="51" t="str">
        <x:v>COBERTO</x:v>
      </x:c>
      <x:c r="F15" s="49" t="str">
        <x:v>T044; T045</x:v>
      </x:c>
      <x:c r="G15" s="51" t="str">
        <x:v>CONCLUÍDO</x:v>
      </x:c>
      <x:c r="H15" s="49" t="str">
        <x:v>Outro Customer não decide OS alheia; rejeição não vira aprovação.</x:v>
      </x:c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52" hidden="0" customWidth="1"/>
    <x:col min="4" max="4" width="22" hidden="0" customWidth="1"/>
    <x:col min="5" max="5" width="20" hidden="0" customWidth="1"/>
    <x:col min="6" max="6" width="18" hidden="0" customWidth="1"/>
    <x:col min="7" max="7" width="19" hidden="0" customWidth="1"/>
    <x:col min="8" max="8" width="48" hidden="0" customWidth="1"/>
  </x:cols>
  <x:sheetData>
    <x:row r="1" ht="26" customHeight="1">
      <x:c r="A1" s="43" t="str">
        <x:v>C7 — Ciclo Completo da OS | Meta de Cobertura: 75%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4" t="str">
        <x:v>Indicador</x:v>
      </x:c>
      <x:c r="B3" s="44" t="str">
        <x:v>Valor</x:v>
      </x:c>
      <x:c r="C3"/>
      <x:c r="D3" s="44" t="str">
        <x:v>Planejamento</x:v>
      </x:c>
      <x:c r="E3" s="44" t="str">
        <x:v>Valor</x:v>
      </x:c>
      <x:c r="F3"/>
      <x:c r="G3"/>
      <x:c r="H3"/>
    </x:row>
    <x:row r="4" ht="20" customHeight="1">
      <x:c r="A4" s="45" t="str">
        <x:v>Itens do C7</x:v>
      </x:c>
      <x:c r="B4" s="45" t="n">
        <x:f>COUNTA(A10:A16)</x:f>
        <x:v>7</x:v>
      </x:c>
      <x:c r="C4" s="45"/>
      <x:c r="D4" s="45" t="str">
        <x:v>Cobertos necessários p/ 75%</x:v>
      </x:c>
      <x:c r="E4" s="47" t="n">
        <x:f>ROUNDUP(B4*B7,0)</x:f>
        <x:v>6</x:v>
      </x:c>
      <x:c r="F4"/>
      <x:c r="G4"/>
      <x:c r="H4"/>
    </x:row>
    <x:row r="5" ht="20" customHeight="1">
      <x:c r="A5" s="45" t="str">
        <x:v>Itens cobertos</x:v>
      </x:c>
      <x:c r="B5" s="45" t="n">
        <x:v>7</x:v>
      </x:c>
      <x:c r="C5" s="45"/>
      <x:c r="D5" s="45" t="str">
        <x:v>Itens adicionais necessários</x:v>
      </x:c>
      <x:c r="E5" s="47" t="n">
        <x:v>0</x:v>
      </x:c>
      <x:c r="F5"/>
      <x:c r="G5"/>
      <x:c r="H5"/>
    </x:row>
    <x:row r="6" ht="20" customHeight="1">
      <x:c r="A6" s="45" t="str">
        <x:v>Cobertura atual</x:v>
      </x:c>
      <x:c r="B6" s="46" t="n">
        <x:v>1</x:v>
      </x:c>
      <x:c r="C6" s="45"/>
      <x:c r="D6" s="45" t="str">
        <x:v>Pode atingir 75% com a cobertura atual?</x:v>
      </x:c>
      <x:c r="E6" s="47" t="str">
        <x:v>SIM</x:v>
      </x:c>
      <x:c r="F6"/>
      <x:c r="G6"/>
      <x:c r="H6"/>
    </x:row>
    <x:row r="7" ht="20" customHeight="1">
      <x:c r="A7" s="45" t="str">
        <x:v>Meta</x:v>
      </x:c>
      <x:c r="B7" s="46" t="n">
        <x:v>0.75</x:v>
      </x:c>
      <x:c r="C7" s="45"/>
      <x:c r="D7" s="45" t="str">
        <x:v>Próxima etapa</x:v>
      </x:c>
      <x:c r="E7" s="47" t="str">
        <x:v>C7 encerrado em 100%; cenário validado por T005, T008, T009, T011 e T046–T048.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 ht="24" customHeight="1">
      <x:c r="A9" s="44" t="str">
        <x:v>Item</x:v>
      </x:c>
      <x:c r="B9" s="44" t="str">
        <x:v>Área</x:v>
      </x:c>
      <x:c r="C9" s="44" t="str">
        <x:v>Regra / resultado esperado</x:v>
      </x:c>
      <x:c r="D9" s="44" t="str">
        <x:v>Implementação</x:v>
      </x:c>
      <x:c r="E9" s="44" t="str">
        <x:v>Status</x:v>
      </x:c>
      <x:c r="F9" s="44" t="str">
        <x:v>Teste atual</x:v>
      </x:c>
      <x:c r="G9" s="44" t="str">
        <x:v>Prioridade C7</x:v>
      </x:c>
      <x:c r="H9" s="44" t="str">
        <x:v>Notas</x:v>
      </x:c>
    </x:row>
    <x:row r="10" ht="30" customHeight="1">
      <x:c r="A10" s="48" t="str">
        <x:v>C07.01</x:v>
      </x:c>
      <x:c r="B10" s="48" t="str">
        <x:v>State machine</x:v>
      </x:c>
      <x:c r="C10" s="48" t="str">
        <x:v>Transições válidas do ciclo de OS são aceitas.</x:v>
      </x:c>
      <x:c r="D10" s="48" t="str">
        <x:v>IMPLEMENTADO</x:v>
      </x:c>
      <x:c r="E10" s="51" t="str">
        <x:v>COBERTO</x:v>
      </x:c>
      <x:c r="F10" s="48" t="str">
        <x:v>T009</x:v>
      </x:c>
      <x:c r="G10" s="51" t="str">
        <x:v>CONCLUÍDO</x:v>
      </x:c>
      <x:c r="H10" s="48"/>
    </x:row>
    <x:row r="11" ht="30" customHeight="1">
      <x:c r="A11" s="49" t="str">
        <x:v>C07.02</x:v>
      </x:c>
      <x:c r="B11" s="49" t="str">
        <x:v>State machine</x:v>
      </x:c>
      <x:c r="C11" s="49" t="str">
        <x:v>Saltos/regressões inválidos são rejeitados.</x:v>
      </x:c>
      <x:c r="D11" s="49" t="str">
        <x:v>IMPLEMENTADO</x:v>
      </x:c>
      <x:c r="E11" s="51" t="str">
        <x:v>COBERTO</x:v>
      </x:c>
      <x:c r="F11" s="49" t="str">
        <x:v>T011</x:v>
      </x:c>
      <x:c r="G11" s="51" t="str">
        <x:v>CONCLUÍDO</x:v>
      </x:c>
      <x:c r="H11" s="49"/>
    </x:row>
    <x:row r="12" ht="30" customHeight="1">
      <x:c r="A12" s="48" t="str">
        <x:v>C07.03</x:v>
      </x:c>
      <x:c r="B12" s="48" t="str">
        <x:v>CRM</x:v>
      </x:c>
      <x:c r="C12" s="48" t="str">
        <x:v>Estados operacionais não geram lifecycle event indevido.</x:v>
      </x:c>
      <x:c r="D12" s="48" t="str">
        <x:v>IMPLEMENTADO</x:v>
      </x:c>
      <x:c r="E12" s="51" t="str">
        <x:v>COBERTO</x:v>
      </x:c>
      <x:c r="F12" s="48" t="str">
        <x:v>T008</x:v>
      </x:c>
      <x:c r="G12" s="51" t="str">
        <x:v>CONCLUÍDO</x:v>
      </x:c>
      <x:c r="H12" s="48"/>
    </x:row>
    <x:row r="13" ht="30" customHeight="1">
      <x:c r="A13" s="49" t="str">
        <x:v>C07.04</x:v>
      </x:c>
      <x:c r="B13" s="49" t="str">
        <x:v>CRM</x:v>
      </x:c>
      <x:c r="C13" s="49" t="str">
        <x:v>ENTREGUE gera SERVICE_ORDER_COMPLETED.</x:v>
      </x:c>
      <x:c r="D13" s="49" t="str">
        <x:v>IMPLEMENTADO</x:v>
      </x:c>
      <x:c r="E13" s="51" t="str">
        <x:v>COBERTO</x:v>
      </x:c>
      <x:c r="F13" s="49" t="str">
        <x:v>T005; T048</x:v>
      </x:c>
      <x:c r="G13" s="51" t="str">
        <x:v>CONCLUÍDO</x:v>
      </x:c>
      <x:c r="H13" s="49" t="str">
        <x:v>Conclusão CRM permanece única mesmo em retry.</x:v>
      </x:c>
    </x:row>
    <x:row r="14" ht="30" customHeight="1">
      <x:c r="A14" s="48" t="str">
        <x:v>C07.05</x:v>
      </x:c>
      <x:c r="B14" s="48" t="str">
        <x:v>Integração</x:v>
      </x:c>
      <x:c r="C14" s="48" t="str">
        <x:v>Fluxo real criação → diagnóstico → aprovação → execução → pronto → entregue funciona ponta a ponta.</x:v>
      </x:c>
      <x:c r="D14" s="48" t="str">
        <x:v>IMPLEMENTADO</x:v>
      </x:c>
      <x:c r="E14" s="51" t="str">
        <x:v>COBERTO</x:v>
      </x:c>
      <x:c r="F14" s="48" t="str">
        <x:v>T046</x:v>
      </x:c>
      <x:c r="G14" s="51" t="str">
        <x:v>CONCLUÍDO</x:v>
      </x:c>
      <x:c r="H14" s="48" t="str">
        <x:v>Fluxo real ponta a ponta com aprovação explícita do Customer.</x:v>
      </x:c>
    </x:row>
    <x:row r="15" ht="30" customHeight="1">
      <x:c r="A15" s="49" t="str">
        <x:v>C07.06</x:v>
      </x:c>
      <x:c r="B15" s="49" t="str">
        <x:v>Atomicidade</x:v>
      </x:c>
      <x:c r="C15" s="49" t="str">
        <x:v>Mudança de status persiste histórico e efeitos CRM de forma consistente.</x:v>
      </x:c>
      <x:c r="D15" s="49" t="str">
        <x:v>IMPLEMENTADO</x:v>
      </x:c>
      <x:c r="E15" s="51" t="str">
        <x:v>COBERTO</x:v>
      </x:c>
      <x:c r="F15" s="49" t="str">
        <x:v>T047; T048</x:v>
      </x:c>
      <x:c r="G15" s="51" t="str">
        <x:v>CONCLUÍDO</x:v>
      </x:c>
      <x:c r="H15" s="49" t="str">
        <x:v>Histórico ordenado, ator da aprovação e conclusão idempotente.</x:v>
      </x:c>
    </x:row>
    <x:row r="16" ht="30" customHeight="1">
      <x:c r="A16" s="48" t="str">
        <x:v>C07.07</x:v>
      </x:c>
      <x:c r="B16" s="48" t="str">
        <x:v>Multi-tenant</x:v>
      </x:c>
      <x:c r="C16" s="48" t="str">
        <x:v>Organization B não consulta/altera/conclui OS da Organization A.</x:v>
      </x:c>
      <x:c r="D16" s="48" t="str">
        <x:v>IMPLEMENTADO</x:v>
      </x:c>
      <x:c r="E16" s="51" t="str">
        <x:v>COBERTO</x:v>
      </x:c>
      <x:c r="F16" s="48" t="str">
        <x:v>T018; T023</x:v>
      </x:c>
      <x:c r="G16" s="51" t="str">
        <x:v>CONCLUÍDO</x:v>
      </x:c>
      <x:c r="H16" s="48" t="str">
        <x:v>Isolamento multi-tenant validado transversalmente no domínio de OS.</x:v>
      </x:c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